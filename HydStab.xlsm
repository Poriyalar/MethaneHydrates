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ra041\Desktop\"/>
    </mc:Choice>
  </mc:AlternateContent>
  <xr:revisionPtr revIDLastSave="0" documentId="13_ncr:1_{E0D8AD1E-6FC2-402D-BD40-739AF0C3910A}" xr6:coauthVersionLast="45" xr6:coauthVersionMax="45" xr10:uidLastSave="{00000000-0000-0000-0000-000000000000}"/>
  <bookViews>
    <workbookView xWindow="-19980" yWindow="5295" windowWidth="28800" windowHeight="15435" activeTab="2" xr2:uid="{8B3CD3D5-9ADA-452F-89F7-92BD3649652B}"/>
  </bookViews>
  <sheets>
    <sheet name="License" sheetId="2" r:id="rId1"/>
    <sheet name="Hydrate stability test" sheetId="1" r:id="rId2"/>
    <sheet name="Methane Solubility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35" i="1" l="1"/>
  <c r="Q35" i="1"/>
  <c r="U34" i="1"/>
  <c r="Q34" i="1"/>
  <c r="U33" i="1"/>
  <c r="Q33" i="1"/>
  <c r="U32" i="1"/>
  <c r="Q32" i="1"/>
  <c r="U31" i="1"/>
  <c r="Q31" i="1"/>
  <c r="U30" i="1"/>
  <c r="Q30" i="1"/>
  <c r="U29" i="1"/>
  <c r="Q29" i="1"/>
  <c r="U28" i="1"/>
  <c r="Q28" i="1"/>
  <c r="U27" i="1"/>
  <c r="Q27" i="1"/>
  <c r="U26" i="1"/>
  <c r="Q26" i="1"/>
  <c r="U25" i="1"/>
  <c r="Q25" i="1"/>
  <c r="U24" i="1"/>
  <c r="Q24" i="1"/>
  <c r="U23" i="1"/>
  <c r="Q23" i="1"/>
  <c r="U22" i="1"/>
  <c r="Q22" i="1"/>
  <c r="U21" i="1"/>
  <c r="Q21" i="1"/>
  <c r="U20" i="1"/>
  <c r="Q20" i="1"/>
  <c r="U19" i="1"/>
  <c r="Q19" i="1"/>
  <c r="U18" i="1"/>
  <c r="Q18" i="1"/>
  <c r="U17" i="1"/>
  <c r="Q17" i="1"/>
  <c r="U16" i="1"/>
  <c r="Q16" i="1"/>
  <c r="U15" i="1"/>
  <c r="Q15" i="1"/>
  <c r="U14" i="1"/>
  <c r="Q14" i="1"/>
  <c r="U13" i="1"/>
  <c r="Q13" i="1"/>
  <c r="U12" i="1"/>
  <c r="Q12" i="1"/>
  <c r="U11" i="1"/>
  <c r="Q11" i="1"/>
  <c r="U10" i="1"/>
  <c r="Q10" i="1"/>
  <c r="U9" i="1"/>
  <c r="Q9" i="1"/>
  <c r="U8" i="1"/>
  <c r="Q8" i="1"/>
  <c r="U7" i="1"/>
  <c r="Q7" i="1"/>
  <c r="M32" i="1" a="1"/>
  <c r="M36" i="1" a="1"/>
  <c r="M68" i="1" a="1"/>
  <c r="M100" i="1" a="1"/>
  <c r="M13" i="1" a="1"/>
  <c r="M49" i="1" a="1"/>
  <c r="M70" i="1" a="1"/>
  <c r="M22" i="1" a="1"/>
  <c r="M58" i="1" a="1"/>
  <c r="M106" i="1" a="1"/>
  <c r="M85" i="1" a="1"/>
  <c r="M39" i="1" a="1"/>
  <c r="M79" i="1" a="1"/>
  <c r="J16" i="1" a="1"/>
  <c r="J48" i="1" a="1"/>
  <c r="J80" i="1" a="1"/>
  <c r="J45" i="1" a="1"/>
  <c r="J17" i="1" a="1"/>
  <c r="J53" i="1" a="1"/>
  <c r="J46" i="1" a="1"/>
  <c r="J22" i="1" a="1"/>
  <c r="J58" i="1" a="1"/>
  <c r="J102" i="1" a="1"/>
  <c r="J107" i="1" a="1"/>
  <c r="J39" i="1" a="1"/>
  <c r="J91" i="1" a="1"/>
  <c r="G89" i="1" a="1"/>
  <c r="G50" i="1" a="1"/>
  <c r="G106" i="1" a="1"/>
  <c r="G96" i="1" a="1"/>
  <c r="G14" i="1" a="1"/>
  <c r="G62" i="1" a="1"/>
  <c r="G52" i="1" a="1"/>
  <c r="G29" i="1" a="1"/>
  <c r="G35" i="1" a="1"/>
  <c r="G67" i="1" a="1"/>
  <c r="G99" i="1" a="1"/>
  <c r="G68" i="1" a="1"/>
  <c r="M40" i="1" a="1"/>
  <c r="M72" i="1" a="1"/>
  <c r="M104" i="1" a="1"/>
  <c r="M17" i="1" a="1"/>
  <c r="M53" i="1" a="1"/>
  <c r="M82" i="1" a="1"/>
  <c r="M26" i="1" a="1"/>
  <c r="M62" i="1" a="1"/>
  <c r="M101" i="1" a="1"/>
  <c r="M43" i="1" a="1"/>
  <c r="J65" i="1" a="1"/>
  <c r="J21" i="1" a="1"/>
  <c r="J57" i="1" a="1"/>
  <c r="J74" i="1" a="1"/>
  <c r="J99" i="1" a="1"/>
  <c r="G64" i="1" a="1"/>
  <c r="M8" i="1" a="1"/>
  <c r="M12" i="1" a="1"/>
  <c r="M44" i="1" a="1"/>
  <c r="M76" i="1" a="1"/>
  <c r="M81" i="1" a="1"/>
  <c r="M21" i="1" a="1"/>
  <c r="M57" i="1" a="1"/>
  <c r="M94" i="1" a="1"/>
  <c r="M30" i="1" a="1"/>
  <c r="M66" i="1" a="1"/>
  <c r="M59" i="1" a="1"/>
  <c r="M15" i="1" a="1"/>
  <c r="M47" i="1" a="1"/>
  <c r="M95" i="1" a="1"/>
  <c r="J24" i="1" a="1"/>
  <c r="J56" i="1" a="1"/>
  <c r="J88" i="1" a="1"/>
  <c r="J73" i="1" a="1"/>
  <c r="J25" i="1" a="1"/>
  <c r="J61" i="1" a="1"/>
  <c r="J86" i="1" a="1"/>
  <c r="J30" i="1" a="1"/>
  <c r="J66" i="1" a="1"/>
  <c r="J63" i="1" a="1"/>
  <c r="J15" i="1" a="1"/>
  <c r="J51" i="1" a="1"/>
  <c r="J7" i="1" a="1"/>
  <c r="G21" i="1" a="1"/>
  <c r="G66" i="1" a="1"/>
  <c r="G24" i="1" a="1"/>
  <c r="G25" i="1" a="1"/>
  <c r="G22" i="1" a="1"/>
  <c r="G78" i="1" a="1"/>
  <c r="G76" i="1" a="1"/>
  <c r="G11" i="1" a="1"/>
  <c r="G43" i="1" a="1"/>
  <c r="G75" i="1" a="1"/>
  <c r="G107" i="1" a="1"/>
  <c r="G92" i="1" a="1"/>
  <c r="M45" i="1" a="1"/>
  <c r="J49" i="1" a="1"/>
  <c r="J35" i="1" a="1"/>
  <c r="G84" i="1" a="1"/>
  <c r="G40" i="1" a="1"/>
  <c r="G105" i="1" a="1"/>
  <c r="M11" i="1" a="1"/>
  <c r="J43" i="1" a="1"/>
  <c r="G18" i="1" a="1"/>
  <c r="G71" i="1" a="1"/>
  <c r="M16" i="1" a="1"/>
  <c r="M48" i="1" a="1"/>
  <c r="M80" i="1" a="1"/>
  <c r="M41" i="1" a="1"/>
  <c r="M25" i="1" a="1"/>
  <c r="M61" i="1" a="1"/>
  <c r="M102" i="1" a="1"/>
  <c r="M34" i="1" a="1"/>
  <c r="M74" i="1" a="1"/>
  <c r="M75" i="1" a="1"/>
  <c r="M19" i="1" a="1"/>
  <c r="M51" i="1" a="1"/>
  <c r="M103" i="1" a="1"/>
  <c r="J28" i="1" a="1"/>
  <c r="J60" i="1" a="1"/>
  <c r="J92" i="1" a="1"/>
  <c r="J81" i="1" a="1"/>
  <c r="J29" i="1" a="1"/>
  <c r="J69" i="1" a="1"/>
  <c r="J98" i="1" a="1"/>
  <c r="J34" i="1" a="1"/>
  <c r="J70" i="1" a="1"/>
  <c r="J71" i="1" a="1"/>
  <c r="J19" i="1" a="1"/>
  <c r="J55" i="1" a="1"/>
  <c r="G7" i="1" a="1"/>
  <c r="G41" i="1" a="1"/>
  <c r="G74" i="1" a="1"/>
  <c r="G36" i="1" a="1"/>
  <c r="G49" i="1" a="1"/>
  <c r="G30" i="1" a="1"/>
  <c r="G90" i="1" a="1"/>
  <c r="G100" i="1" a="1"/>
  <c r="G15" i="1" a="1"/>
  <c r="G47" i="1" a="1"/>
  <c r="G79" i="1" a="1"/>
  <c r="G12" i="1" a="1"/>
  <c r="G13" i="1" a="1"/>
  <c r="M98" i="1" a="1"/>
  <c r="J105" i="1" a="1"/>
  <c r="G42" i="1" a="1"/>
  <c r="G31" i="1" a="1"/>
  <c r="J84" i="1" a="1"/>
  <c r="J47" i="1" a="1"/>
  <c r="G104" i="1" a="1"/>
  <c r="G80" i="1" a="1"/>
  <c r="M20" i="1" a="1"/>
  <c r="M52" i="1" a="1"/>
  <c r="M84" i="1" a="1"/>
  <c r="M65" i="1" a="1"/>
  <c r="M29" i="1" a="1"/>
  <c r="M69" i="1" a="1"/>
  <c r="M97" i="1" a="1"/>
  <c r="M42" i="1" a="1"/>
  <c r="M78" i="1" a="1"/>
  <c r="M87" i="1" a="1"/>
  <c r="M23" i="1" a="1"/>
  <c r="M55" i="1" a="1"/>
  <c r="M89" i="1" a="1"/>
  <c r="J32" i="1" a="1"/>
  <c r="J64" i="1" a="1"/>
  <c r="J96" i="1" a="1"/>
  <c r="J89" i="1" a="1"/>
  <c r="J33" i="1" a="1"/>
  <c r="J77" i="1" a="1"/>
  <c r="J106" i="1" a="1"/>
  <c r="J38" i="1" a="1"/>
  <c r="J78" i="1" a="1"/>
  <c r="J79" i="1" a="1"/>
  <c r="J23" i="1" a="1"/>
  <c r="J59" i="1" a="1"/>
  <c r="G88" i="1" a="1"/>
  <c r="G53" i="1" a="1"/>
  <c r="G82" i="1" a="1"/>
  <c r="G48" i="1" a="1"/>
  <c r="G61" i="1" a="1"/>
  <c r="G34" i="1" a="1"/>
  <c r="G102" i="1" a="1"/>
  <c r="G17" i="1" a="1"/>
  <c r="G19" i="1" a="1"/>
  <c r="G51" i="1" a="1"/>
  <c r="G83" i="1" a="1"/>
  <c r="G20" i="1" a="1"/>
  <c r="G37" i="1" a="1"/>
  <c r="M18" i="1" a="1"/>
  <c r="J54" i="1" a="1"/>
  <c r="G33" i="1" a="1"/>
  <c r="G10" i="1" a="1"/>
  <c r="G63" i="1" a="1"/>
  <c r="M83" i="1" a="1"/>
  <c r="J11" i="1" a="1"/>
  <c r="G8" i="1" a="1"/>
  <c r="G39" i="1" a="1"/>
  <c r="M24" i="1" a="1"/>
  <c r="M56" i="1" a="1"/>
  <c r="M88" i="1" a="1"/>
  <c r="M73" i="1" a="1"/>
  <c r="M33" i="1" a="1"/>
  <c r="M77" i="1" a="1"/>
  <c r="M10" i="1" a="1"/>
  <c r="M46" i="1" a="1"/>
  <c r="M86" i="1" a="1"/>
  <c r="M91" i="1" a="1"/>
  <c r="M27" i="1" a="1"/>
  <c r="M63" i="1" a="1"/>
  <c r="M7" i="1" a="1"/>
  <c r="J36" i="1" a="1"/>
  <c r="J68" i="1" a="1"/>
  <c r="J100" i="1" a="1"/>
  <c r="J101" i="1" a="1"/>
  <c r="J37" i="1" a="1"/>
  <c r="J85" i="1" a="1"/>
  <c r="J10" i="1" a="1"/>
  <c r="J42" i="1" a="1"/>
  <c r="J82" i="1" a="1"/>
  <c r="J87" i="1" a="1"/>
  <c r="J27" i="1" a="1"/>
  <c r="J67" i="1" a="1"/>
  <c r="G69" i="1" a="1"/>
  <c r="G85" i="1" a="1"/>
  <c r="G86" i="1" a="1"/>
  <c r="G60" i="1" a="1"/>
  <c r="G77" i="1" a="1"/>
  <c r="G38" i="1" a="1"/>
  <c r="G16" i="1" a="1"/>
  <c r="G45" i="1" a="1"/>
  <c r="G23" i="1" a="1"/>
  <c r="G55" i="1" a="1"/>
  <c r="G87" i="1" a="1"/>
  <c r="G32" i="1" a="1"/>
  <c r="G57" i="1" a="1"/>
  <c r="M38" i="1" a="1"/>
  <c r="J18" i="1" a="1"/>
  <c r="J83" i="1" a="1"/>
  <c r="G54" i="1" a="1"/>
  <c r="G95" i="1" a="1"/>
  <c r="J20" i="1" a="1"/>
  <c r="J62" i="1" a="1"/>
  <c r="G58" i="1" a="1"/>
  <c r="G73" i="1" a="1"/>
  <c r="M28" i="1" a="1"/>
  <c r="M60" i="1" a="1"/>
  <c r="M92" i="1" a="1"/>
  <c r="M93" i="1" a="1"/>
  <c r="M37" i="1" a="1"/>
  <c r="M105" i="1" a="1"/>
  <c r="M14" i="1" a="1"/>
  <c r="M50" i="1" a="1"/>
  <c r="M90" i="1" a="1"/>
  <c r="M99" i="1" a="1"/>
  <c r="M31" i="1" a="1"/>
  <c r="M67" i="1" a="1"/>
  <c r="J8" i="1" a="1"/>
  <c r="J40" i="1" a="1"/>
  <c r="J72" i="1" a="1"/>
  <c r="J104" i="1" a="1"/>
  <c r="J9" i="1" a="1"/>
  <c r="J41" i="1" a="1"/>
  <c r="J93" i="1" a="1"/>
  <c r="J14" i="1" a="1"/>
  <c r="J50" i="1" a="1"/>
  <c r="J90" i="1" a="1"/>
  <c r="J95" i="1" a="1"/>
  <c r="J31" i="1" a="1"/>
  <c r="J75" i="1" a="1"/>
  <c r="G97" i="1" a="1"/>
  <c r="G26" i="1" a="1"/>
  <c r="G94" i="1" a="1"/>
  <c r="G72" i="1" a="1"/>
  <c r="G101" i="1" a="1"/>
  <c r="G46" i="1" a="1"/>
  <c r="G28" i="1" a="1"/>
  <c r="G65" i="1" a="1"/>
  <c r="G27" i="1" a="1"/>
  <c r="G59" i="1" a="1"/>
  <c r="G91" i="1" a="1"/>
  <c r="G44" i="1" a="1"/>
  <c r="G81" i="1" a="1"/>
  <c r="M64" i="1" a="1"/>
  <c r="M96" i="1" a="1"/>
  <c r="M9" i="1" a="1"/>
  <c r="M54" i="1" a="1"/>
  <c r="M107" i="1" a="1"/>
  <c r="M35" i="1" a="1"/>
  <c r="M71" i="1" a="1"/>
  <c r="J12" i="1" a="1"/>
  <c r="J44" i="1" a="1"/>
  <c r="J76" i="1" a="1"/>
  <c r="J97" i="1" a="1"/>
  <c r="J13" i="1" a="1"/>
  <c r="J94" i="1" a="1"/>
  <c r="J103" i="1" a="1"/>
  <c r="G98" i="1" a="1"/>
  <c r="G93" i="1" a="1"/>
  <c r="G56" i="1" a="1"/>
  <c r="J52" i="1" a="1"/>
  <c r="J26" i="1" a="1"/>
  <c r="G9" i="1" a="1"/>
  <c r="G70" i="1" a="1"/>
  <c r="G103" i="1" a="1"/>
  <c r="D10" i="1" a="1"/>
  <c r="D14" i="1" a="1"/>
  <c r="D18" i="1" a="1"/>
  <c r="D22" i="1" a="1"/>
  <c r="D26" i="1" a="1"/>
  <c r="D30" i="1" a="1"/>
  <c r="D34" i="1" a="1"/>
  <c r="D38" i="1" a="1"/>
  <c r="D42" i="1" a="1"/>
  <c r="D46" i="1" a="1"/>
  <c r="D54" i="1" a="1"/>
  <c r="D58" i="1" a="1"/>
  <c r="D62" i="1" a="1"/>
  <c r="D66" i="1" a="1"/>
  <c r="D70" i="1" a="1"/>
  <c r="D74" i="1" a="1"/>
  <c r="D78" i="1" a="1"/>
  <c r="D82" i="1" a="1"/>
  <c r="D86" i="1" a="1"/>
  <c r="D90" i="1" a="1"/>
  <c r="D94" i="1" a="1"/>
  <c r="D98" i="1" a="1"/>
  <c r="D102" i="1" a="1"/>
  <c r="D8" i="1" a="1"/>
  <c r="D24" i="1" a="1"/>
  <c r="D32" i="1" a="1"/>
  <c r="D40" i="1" a="1"/>
  <c r="D48" i="1" a="1"/>
  <c r="D60" i="1" a="1"/>
  <c r="D72" i="1" a="1"/>
  <c r="D84" i="1" a="1"/>
  <c r="D96" i="1" a="1"/>
  <c r="D104" i="1" a="1"/>
  <c r="D13" i="1" a="1"/>
  <c r="D21" i="1" a="1"/>
  <c r="D37" i="1" a="1"/>
  <c r="D45" i="1" a="1"/>
  <c r="D53" i="1" a="1"/>
  <c r="D65" i="1" a="1"/>
  <c r="D69" i="1" a="1"/>
  <c r="D50" i="1" a="1"/>
  <c r="D106" i="1" a="1"/>
  <c r="D16" i="1" a="1"/>
  <c r="D36" i="1" a="1"/>
  <c r="D52" i="1" a="1"/>
  <c r="D68" i="1" a="1"/>
  <c r="D80" i="1" a="1"/>
  <c r="D92" i="1" a="1"/>
  <c r="D17" i="1" a="1"/>
  <c r="D29" i="1" a="1"/>
  <c r="D41" i="1" a="1"/>
  <c r="D57" i="1" a="1"/>
  <c r="D77" i="1" a="1"/>
  <c r="D11" i="1" a="1"/>
  <c r="D15" i="1" a="1"/>
  <c r="D19" i="1" a="1"/>
  <c r="D23" i="1" a="1"/>
  <c r="D27" i="1" a="1"/>
  <c r="D31" i="1" a="1"/>
  <c r="D35" i="1" a="1"/>
  <c r="D39" i="1" a="1"/>
  <c r="D43" i="1" a="1"/>
  <c r="D47" i="1" a="1"/>
  <c r="D51" i="1" a="1"/>
  <c r="D55" i="1" a="1"/>
  <c r="D59" i="1" a="1"/>
  <c r="D63" i="1" a="1"/>
  <c r="D67" i="1" a="1"/>
  <c r="D71" i="1" a="1"/>
  <c r="D75" i="1" a="1"/>
  <c r="D79" i="1" a="1"/>
  <c r="D83" i="1" a="1"/>
  <c r="D87" i="1" a="1"/>
  <c r="D91" i="1" a="1"/>
  <c r="D95" i="1" a="1"/>
  <c r="D99" i="1" a="1"/>
  <c r="D103" i="1" a="1"/>
  <c r="D107" i="1" a="1"/>
  <c r="D12" i="1" a="1"/>
  <c r="D20" i="1" a="1"/>
  <c r="D28" i="1" a="1"/>
  <c r="D44" i="1" a="1"/>
  <c r="D56" i="1" a="1"/>
  <c r="D64" i="1" a="1"/>
  <c r="D76" i="1" a="1"/>
  <c r="D88" i="1" a="1"/>
  <c r="D100" i="1" a="1"/>
  <c r="D9" i="1" a="1"/>
  <c r="D25" i="1" a="1"/>
  <c r="D33" i="1" a="1"/>
  <c r="D49" i="1" a="1"/>
  <c r="D61" i="1" a="1"/>
  <c r="D73" i="1" a="1"/>
  <c r="D93" i="1" a="1"/>
  <c r="D101" i="1" a="1"/>
  <c r="D85" i="1" a="1"/>
  <c r="D97" i="1" a="1"/>
  <c r="D105" i="1" a="1"/>
  <c r="D81" i="1" a="1"/>
  <c r="D89" i="1" a="1"/>
  <c r="D7" i="1" a="1"/>
  <c r="E10" i="3" a="1"/>
  <c r="E11" i="3" a="1"/>
  <c r="E18" i="3" a="1"/>
  <c r="E15" i="3" a="1"/>
  <c r="E22" i="3" a="1"/>
  <c r="E23" i="3" a="1"/>
  <c r="E20" i="3" a="1"/>
  <c r="E16" i="3" a="1"/>
  <c r="E13" i="3" a="1"/>
  <c r="E19" i="3" a="1"/>
  <c r="E24" i="3" a="1"/>
  <c r="E17" i="3" a="1"/>
  <c r="E12" i="3" a="1"/>
  <c r="E14" i="3" a="1"/>
  <c r="E21" i="3" a="1"/>
  <c r="K17" i="3" a="1"/>
  <c r="K21" i="3" a="1"/>
  <c r="K11" i="3" a="1"/>
  <c r="K20" i="3" a="1"/>
  <c r="K13" i="3" a="1"/>
  <c r="K15" i="3" a="1"/>
  <c r="K24" i="3" a="1"/>
  <c r="K12" i="3" a="1"/>
  <c r="K14" i="3" a="1"/>
  <c r="K18" i="3" a="1"/>
  <c r="K22" i="3" a="1"/>
  <c r="K19" i="3" a="1"/>
  <c r="K23" i="3" a="1"/>
  <c r="K16" i="3" a="1"/>
  <c r="K10" i="3" a="1"/>
  <c r="F17" i="3" a="1"/>
  <c r="F19" i="3" a="1"/>
  <c r="F12" i="3" a="1"/>
  <c r="F13" i="3" a="1"/>
  <c r="F21" i="3" a="1"/>
  <c r="F15" i="3" a="1"/>
  <c r="F20" i="3" a="1"/>
  <c r="F14" i="3" a="1"/>
  <c r="F18" i="3" a="1"/>
  <c r="F22" i="3" a="1"/>
  <c r="F11" i="3" a="1"/>
  <c r="F23" i="3" a="1"/>
  <c r="F16" i="3" a="1"/>
  <c r="F24" i="3" a="1"/>
  <c r="F10" i="3" a="1"/>
  <c r="J16" i="3" a="1"/>
  <c r="J23" i="3" a="1"/>
  <c r="J19" i="3" a="1"/>
  <c r="J15" i="3" a="1"/>
  <c r="J11" i="3" a="1"/>
  <c r="J12" i="3" a="1"/>
  <c r="J14" i="3" a="1"/>
  <c r="J10" i="3" a="1"/>
  <c r="J20" i="3" a="1"/>
  <c r="J18" i="3" a="1"/>
  <c r="J21" i="3" a="1"/>
  <c r="J17" i="3" a="1"/>
  <c r="J13" i="3" a="1"/>
  <c r="J24" i="3" a="1"/>
  <c r="V13" i="3" a="1"/>
  <c r="V20" i="3" a="1"/>
  <c r="V14" i="3" a="1"/>
  <c r="V9" i="3" a="1"/>
  <c r="V11" i="3" a="1"/>
  <c r="V21" i="3" a="1"/>
  <c r="V17" i="3" a="1"/>
  <c r="V18" i="3" a="1"/>
  <c r="V8" i="3" a="1"/>
  <c r="V10" i="3" a="1"/>
  <c r="V22" i="3" a="1"/>
  <c r="V15" i="3" a="1"/>
  <c r="V12" i="3" a="1"/>
  <c r="V19" i="3" a="1"/>
  <c r="V16" i="3" a="1"/>
  <c r="B25" i="3" a="1"/>
  <c r="J22" i="3" a="1"/>
  <c r="B25" i="3" l="1"/>
  <c r="E10" i="3"/>
  <c r="K16" i="3"/>
  <c r="K23" i="3"/>
  <c r="K19" i="3"/>
  <c r="K22" i="3"/>
  <c r="K18" i="3"/>
  <c r="K14" i="3"/>
  <c r="K12" i="3"/>
  <c r="K24" i="3"/>
  <c r="K15" i="3"/>
  <c r="K13" i="3"/>
  <c r="K20" i="3"/>
  <c r="K11" i="3"/>
  <c r="K21" i="3"/>
  <c r="K17" i="3"/>
  <c r="K10" i="3"/>
  <c r="F24" i="3"/>
  <c r="F16" i="3"/>
  <c r="F23" i="3"/>
  <c r="F11" i="3"/>
  <c r="F22" i="3"/>
  <c r="F18" i="3"/>
  <c r="F14" i="3"/>
  <c r="F20" i="3"/>
  <c r="F15" i="3"/>
  <c r="F21" i="3"/>
  <c r="F13" i="3"/>
  <c r="F12" i="3"/>
  <c r="F19" i="3"/>
  <c r="F17" i="3"/>
  <c r="F10" i="3"/>
  <c r="J24" i="3"/>
  <c r="J13" i="3"/>
  <c r="J17" i="3"/>
  <c r="J21" i="3"/>
  <c r="J18" i="3"/>
  <c r="J20" i="3"/>
  <c r="J10" i="3"/>
  <c r="J14" i="3"/>
  <c r="J22" i="3"/>
  <c r="J12" i="3"/>
  <c r="J11" i="3"/>
  <c r="J15" i="3"/>
  <c r="J19" i="3"/>
  <c r="J23" i="3"/>
  <c r="J16" i="3"/>
  <c r="V18" i="3"/>
  <c r="V21" i="3"/>
  <c r="V9" i="3"/>
  <c r="V20" i="3"/>
  <c r="V16" i="3"/>
  <c r="V12" i="3"/>
  <c r="V22" i="3"/>
  <c r="V10" i="3"/>
  <c r="V17" i="3"/>
  <c r="V11" i="3"/>
  <c r="V14" i="3"/>
  <c r="V13" i="3"/>
  <c r="V19" i="3"/>
  <c r="V15" i="3"/>
  <c r="V8" i="3"/>
  <c r="E16" i="3"/>
  <c r="E15" i="3"/>
  <c r="E18" i="3"/>
  <c r="E14" i="3"/>
  <c r="E24" i="3"/>
  <c r="E12" i="3"/>
  <c r="E19" i="3"/>
  <c r="E13" i="3"/>
  <c r="E20" i="3"/>
  <c r="E23" i="3"/>
  <c r="E11" i="3"/>
  <c r="E22" i="3"/>
  <c r="E21" i="3"/>
  <c r="E17" i="3"/>
  <c r="D89" i="1"/>
  <c r="D81" i="1"/>
  <c r="D105" i="1"/>
  <c r="D97" i="1"/>
  <c r="D85" i="1"/>
  <c r="D101" i="1"/>
  <c r="D93" i="1"/>
  <c r="D73" i="1"/>
  <c r="D61" i="1"/>
  <c r="D49" i="1"/>
  <c r="D33" i="1"/>
  <c r="D25" i="1"/>
  <c r="D9" i="1"/>
  <c r="D100" i="1"/>
  <c r="D88" i="1"/>
  <c r="D76" i="1"/>
  <c r="D64" i="1"/>
  <c r="D56" i="1"/>
  <c r="D44" i="1"/>
  <c r="D28" i="1"/>
  <c r="D20" i="1"/>
  <c r="D12" i="1"/>
  <c r="D107" i="1"/>
  <c r="D103" i="1"/>
  <c r="D99" i="1"/>
  <c r="D95" i="1"/>
  <c r="D91" i="1"/>
  <c r="D87" i="1"/>
  <c r="D83" i="1"/>
  <c r="D79" i="1"/>
  <c r="D75" i="1"/>
  <c r="D71" i="1"/>
  <c r="D67" i="1"/>
  <c r="D63" i="1"/>
  <c r="D59" i="1"/>
  <c r="D55" i="1"/>
  <c r="D51" i="1"/>
  <c r="D47" i="1"/>
  <c r="D43" i="1"/>
  <c r="D39" i="1"/>
  <c r="D35" i="1"/>
  <c r="D31" i="1"/>
  <c r="D27" i="1"/>
  <c r="D23" i="1"/>
  <c r="D19" i="1"/>
  <c r="D15" i="1"/>
  <c r="D11" i="1"/>
  <c r="D77" i="1"/>
  <c r="D57" i="1"/>
  <c r="D41" i="1"/>
  <c r="D29" i="1"/>
  <c r="D17" i="1"/>
  <c r="D92" i="1"/>
  <c r="D80" i="1"/>
  <c r="D68" i="1"/>
  <c r="D52" i="1"/>
  <c r="D36" i="1"/>
  <c r="D16" i="1"/>
  <c r="D106" i="1"/>
  <c r="D50" i="1"/>
  <c r="D69" i="1"/>
  <c r="D65" i="1"/>
  <c r="D53" i="1"/>
  <c r="D45" i="1"/>
  <c r="D37" i="1"/>
  <c r="D21" i="1"/>
  <c r="D13" i="1"/>
  <c r="D104" i="1"/>
  <c r="D96" i="1"/>
  <c r="D84" i="1"/>
  <c r="D72" i="1"/>
  <c r="D60" i="1"/>
  <c r="D48" i="1"/>
  <c r="D40" i="1"/>
  <c r="D32" i="1"/>
  <c r="D24" i="1"/>
  <c r="D8" i="1"/>
  <c r="D102" i="1"/>
  <c r="D98" i="1"/>
  <c r="D94" i="1"/>
  <c r="D90" i="1"/>
  <c r="D86" i="1"/>
  <c r="D82" i="1"/>
  <c r="D78" i="1"/>
  <c r="D74" i="1"/>
  <c r="D70" i="1"/>
  <c r="D66" i="1"/>
  <c r="D62" i="1"/>
  <c r="D58" i="1"/>
  <c r="D54" i="1"/>
  <c r="D46" i="1"/>
  <c r="D42" i="1"/>
  <c r="D38" i="1"/>
  <c r="D34" i="1"/>
  <c r="D30" i="1"/>
  <c r="D26" i="1"/>
  <c r="D22" i="1"/>
  <c r="D18" i="1"/>
  <c r="D14" i="1"/>
  <c r="D10" i="1"/>
  <c r="D7" i="1"/>
  <c r="M89" i="1"/>
  <c r="M103" i="1"/>
  <c r="M95" i="1"/>
  <c r="M83" i="1"/>
  <c r="M79" i="1"/>
  <c r="M71" i="1"/>
  <c r="M67" i="1"/>
  <c r="M63" i="1"/>
  <c r="M55" i="1"/>
  <c r="M51" i="1"/>
  <c r="M47" i="1"/>
  <c r="M43" i="1"/>
  <c r="M39" i="1"/>
  <c r="M35" i="1"/>
  <c r="M31" i="1"/>
  <c r="M27" i="1"/>
  <c r="M23" i="1"/>
  <c r="M19" i="1"/>
  <c r="M15" i="1"/>
  <c r="M11" i="1"/>
  <c r="M85" i="1"/>
  <c r="M107" i="1"/>
  <c r="M99" i="1"/>
  <c r="M91" i="1"/>
  <c r="M87" i="1"/>
  <c r="M75" i="1"/>
  <c r="M59" i="1"/>
  <c r="M101" i="1"/>
  <c r="M106" i="1"/>
  <c r="M98" i="1"/>
  <c r="M90" i="1"/>
  <c r="M86" i="1"/>
  <c r="M78" i="1"/>
  <c r="M74" i="1"/>
  <c r="M66" i="1"/>
  <c r="M62" i="1"/>
  <c r="M58" i="1"/>
  <c r="M54" i="1"/>
  <c r="M50" i="1"/>
  <c r="M46" i="1"/>
  <c r="M42" i="1"/>
  <c r="M34" i="1"/>
  <c r="M30" i="1"/>
  <c r="M26" i="1"/>
  <c r="M22" i="1"/>
  <c r="M18" i="1"/>
  <c r="M14" i="1"/>
  <c r="M10" i="1"/>
  <c r="M97" i="1"/>
  <c r="M102" i="1"/>
  <c r="M94" i="1"/>
  <c r="M82" i="1"/>
  <c r="M70" i="1"/>
  <c r="M38" i="1"/>
  <c r="M105" i="1"/>
  <c r="M77" i="1"/>
  <c r="M69" i="1"/>
  <c r="M61" i="1"/>
  <c r="M57" i="1"/>
  <c r="M53" i="1"/>
  <c r="M49" i="1"/>
  <c r="M45" i="1"/>
  <c r="M37" i="1"/>
  <c r="M33" i="1"/>
  <c r="M29" i="1"/>
  <c r="M25" i="1"/>
  <c r="M21" i="1"/>
  <c r="M17" i="1"/>
  <c r="M13" i="1"/>
  <c r="M9" i="1"/>
  <c r="M93" i="1"/>
  <c r="M73" i="1"/>
  <c r="M65" i="1"/>
  <c r="M41" i="1"/>
  <c r="M81" i="1"/>
  <c r="M104" i="1"/>
  <c r="M100" i="1"/>
  <c r="M96" i="1"/>
  <c r="M92" i="1"/>
  <c r="M88" i="1"/>
  <c r="M84" i="1"/>
  <c r="M80" i="1"/>
  <c r="M76" i="1"/>
  <c r="M72" i="1"/>
  <c r="M68" i="1"/>
  <c r="M64" i="1"/>
  <c r="M60" i="1"/>
  <c r="M56" i="1"/>
  <c r="M52" i="1"/>
  <c r="M48" i="1"/>
  <c r="M44" i="1"/>
  <c r="M40" i="1"/>
  <c r="M36" i="1"/>
  <c r="M32" i="1"/>
  <c r="M28" i="1"/>
  <c r="M24" i="1"/>
  <c r="M20" i="1"/>
  <c r="M16" i="1"/>
  <c r="M12" i="1"/>
  <c r="M8" i="1"/>
  <c r="M7" i="1"/>
  <c r="J99" i="1"/>
  <c r="J91" i="1"/>
  <c r="J83" i="1"/>
  <c r="J75" i="1"/>
  <c r="J67" i="1"/>
  <c r="J59" i="1"/>
  <c r="J55" i="1"/>
  <c r="J51" i="1"/>
  <c r="J43" i="1"/>
  <c r="J39" i="1"/>
  <c r="J35" i="1"/>
  <c r="J31" i="1"/>
  <c r="J27" i="1"/>
  <c r="J23" i="1"/>
  <c r="J19" i="1"/>
  <c r="J15" i="1"/>
  <c r="J11" i="1"/>
  <c r="J107" i="1"/>
  <c r="J103" i="1"/>
  <c r="J95" i="1"/>
  <c r="J87" i="1"/>
  <c r="J79" i="1"/>
  <c r="J71" i="1"/>
  <c r="J63" i="1"/>
  <c r="J47" i="1"/>
  <c r="J102" i="1"/>
  <c r="J94" i="1"/>
  <c r="J90" i="1"/>
  <c r="J82" i="1"/>
  <c r="J78" i="1"/>
  <c r="J70" i="1"/>
  <c r="J66" i="1"/>
  <c r="J62" i="1"/>
  <c r="J58" i="1"/>
  <c r="J54" i="1"/>
  <c r="J50" i="1"/>
  <c r="J42" i="1"/>
  <c r="J38" i="1"/>
  <c r="J34" i="1"/>
  <c r="J30" i="1"/>
  <c r="J26" i="1"/>
  <c r="J22" i="1"/>
  <c r="J18" i="1"/>
  <c r="J14" i="1"/>
  <c r="J10" i="1"/>
  <c r="J106" i="1"/>
  <c r="J98" i="1"/>
  <c r="J86" i="1"/>
  <c r="J74" i="1"/>
  <c r="J46" i="1"/>
  <c r="J105" i="1"/>
  <c r="J93" i="1"/>
  <c r="J85" i="1"/>
  <c r="J77" i="1"/>
  <c r="J69" i="1"/>
  <c r="J61" i="1"/>
  <c r="J57" i="1"/>
  <c r="J53" i="1"/>
  <c r="J49" i="1"/>
  <c r="J41" i="1"/>
  <c r="J37" i="1"/>
  <c r="J33" i="1"/>
  <c r="J29" i="1"/>
  <c r="J25" i="1"/>
  <c r="J21" i="1"/>
  <c r="J17" i="1"/>
  <c r="J13" i="1"/>
  <c r="J9" i="1"/>
  <c r="J101" i="1"/>
  <c r="J89" i="1"/>
  <c r="J81" i="1"/>
  <c r="J73" i="1"/>
  <c r="J65" i="1"/>
  <c r="J45" i="1"/>
  <c r="J97" i="1"/>
  <c r="J104" i="1"/>
  <c r="J100" i="1"/>
  <c r="J96" i="1"/>
  <c r="J92" i="1"/>
  <c r="J88" i="1"/>
  <c r="J84" i="1"/>
  <c r="J80" i="1"/>
  <c r="J76" i="1"/>
  <c r="J72" i="1"/>
  <c r="J68" i="1"/>
  <c r="J64" i="1"/>
  <c r="J60" i="1"/>
  <c r="J56" i="1"/>
  <c r="J52" i="1"/>
  <c r="J48" i="1"/>
  <c r="J44" i="1"/>
  <c r="J40" i="1"/>
  <c r="J36" i="1"/>
  <c r="J32" i="1"/>
  <c r="J28" i="1"/>
  <c r="J24" i="1"/>
  <c r="J20" i="1"/>
  <c r="J16" i="1"/>
  <c r="J12" i="1"/>
  <c r="J8" i="1"/>
  <c r="J7" i="1"/>
  <c r="G7" i="1"/>
  <c r="G105" i="1"/>
  <c r="G81" i="1"/>
  <c r="G57" i="1"/>
  <c r="G37" i="1"/>
  <c r="G13" i="1"/>
  <c r="G92" i="1"/>
  <c r="G80" i="1"/>
  <c r="G68" i="1"/>
  <c r="G56" i="1"/>
  <c r="G44" i="1"/>
  <c r="G32" i="1"/>
  <c r="G20" i="1"/>
  <c r="G12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11" i="1"/>
  <c r="G73" i="1"/>
  <c r="G29" i="1"/>
  <c r="G93" i="1"/>
  <c r="G65" i="1"/>
  <c r="G45" i="1"/>
  <c r="G17" i="1"/>
  <c r="G100" i="1"/>
  <c r="G76" i="1"/>
  <c r="G64" i="1"/>
  <c r="G52" i="1"/>
  <c r="G40" i="1"/>
  <c r="G28" i="1"/>
  <c r="G16" i="1"/>
  <c r="G102" i="1"/>
  <c r="G90" i="1"/>
  <c r="G78" i="1"/>
  <c r="G70" i="1"/>
  <c r="G62" i="1"/>
  <c r="G54" i="1"/>
  <c r="G46" i="1"/>
  <c r="G38" i="1"/>
  <c r="G34" i="1"/>
  <c r="G30" i="1"/>
  <c r="G22" i="1"/>
  <c r="G18" i="1"/>
  <c r="G14" i="1"/>
  <c r="G10" i="1"/>
  <c r="G101" i="1"/>
  <c r="G77" i="1"/>
  <c r="G61" i="1"/>
  <c r="G49" i="1"/>
  <c r="G25" i="1"/>
  <c r="G104" i="1"/>
  <c r="G96" i="1"/>
  <c r="G84" i="1"/>
  <c r="G72" i="1"/>
  <c r="G60" i="1"/>
  <c r="G48" i="1"/>
  <c r="G36" i="1"/>
  <c r="G24" i="1"/>
  <c r="G8" i="1"/>
  <c r="G106" i="1"/>
  <c r="G98" i="1"/>
  <c r="G94" i="1"/>
  <c r="G86" i="1"/>
  <c r="G82" i="1"/>
  <c r="G74" i="1"/>
  <c r="G66" i="1"/>
  <c r="G58" i="1"/>
  <c r="G50" i="1"/>
  <c r="G42" i="1"/>
  <c r="G26" i="1"/>
  <c r="G85" i="1"/>
  <c r="G53" i="1"/>
  <c r="G41" i="1"/>
  <c r="G21" i="1"/>
  <c r="G9" i="1"/>
  <c r="G89" i="1"/>
  <c r="G33" i="1"/>
  <c r="G97" i="1"/>
  <c r="G69" i="1"/>
  <c r="G8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<sst xmlns="http://schemas.openxmlformats.org/spreadsheetml/2006/main" count="73" uniqueCount="48">
  <si>
    <t>S = 70 ppt (Tish)</t>
  </si>
  <si>
    <t>S = 50 ppt</t>
  </si>
  <si>
    <t>Tval</t>
  </si>
  <si>
    <t>Pval</t>
  </si>
  <si>
    <t>T (K)</t>
  </si>
  <si>
    <t>P (bar)</t>
  </si>
  <si>
    <t>P (Mpa)</t>
  </si>
  <si>
    <t>Example --&gt; hydp(285,35)    the first input is temperature in K and the second input is salinity in PPT (parts per thousand)</t>
  </si>
  <si>
    <t>Result --&gt; minimum pressure for methane hydrate stability for specified conditions. Any pressures above the value are hydrate stable</t>
  </si>
  <si>
    <t>Duan Model Data</t>
  </si>
  <si>
    <t>Tischenko Model Data</t>
  </si>
  <si>
    <t>The method is from Tischenko et al., 2005 https://doi.org/10.1016/j.chemgeo.2005.02.008</t>
  </si>
  <si>
    <t>This sheet was created by Hariharan Ramachandran. Contact hariharan.r@uit.no for help/assistance/more info.</t>
  </si>
  <si>
    <t>MIT License</t>
  </si>
  <si>
    <t>Copyright (c) 2020 Hariharan Ramachandran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</si>
  <si>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</si>
  <si>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</si>
  <si>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</si>
  <si>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</si>
  <si>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</si>
  <si>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</si>
  <si>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</si>
  <si>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</si>
  <si>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</si>
  <si>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</si>
  <si>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</si>
  <si>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</si>
  <si>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</si>
  <si>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</si>
  <si>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</si>
  <si>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Acknowledgement</t>
  </si>
  <si>
    <t>This work was supported by the SEAMSTRESS project. The SEAMSTRESS project is supported by the Tromsø Research Foundation (TFS) and the Research Council of Norway (RCN-Frinatek) through two starting grants awarded to Andreia Plaza-Faverola. In addition, the Faculty of Science and Technology, the Department of Geosciences at UiT, and the Center for Arctic gas hydrates, environment and climate (CAGE) provide significant support to the project.</t>
  </si>
  <si>
    <t>Salinity = 33.5 ppt (Tish)</t>
  </si>
  <si>
    <t>Salinity = 0 ppt (Tish)</t>
  </si>
  <si>
    <t>Salinity = 33.5 ppt (Duan)</t>
  </si>
  <si>
    <t>Salinity = 0 ppt (Duan)</t>
  </si>
  <si>
    <t>ppt</t>
  </si>
  <si>
    <t>Pressure</t>
  </si>
  <si>
    <t>Temperature</t>
  </si>
  <si>
    <t>Sol</t>
  </si>
  <si>
    <t>Salinty</t>
  </si>
  <si>
    <t>Mpa</t>
  </si>
  <si>
    <t>K</t>
  </si>
  <si>
    <t>mol/kg of water</t>
  </si>
  <si>
    <t>Result --&gt; Methane solubility in aqueous phase in the presence of hydrates in molality units (mol/kg of water)</t>
  </si>
  <si>
    <t>solubility</t>
  </si>
  <si>
    <t>Hydrate stable pressure</t>
  </si>
  <si>
    <t>Example --&gt; methhyd(285,35,11)    the first input is temperature in K, the second input is salinity in PPT (parts per thousand), the third input is pressure in Mpa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</si>
</sst>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14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4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1" fillId="0" borderId="0" xfId="0" applyFont="1" applyBorder="1" applyAlignment="1"/>
    <xf numFmtId="0" fontId="2" fillId="0" borderId="0" xfId="0" applyFont="1"/>
    <xf numFmtId="0" fontId="2" fillId="0" borderId="0" xfId="0" applyFont="1" applyBorder="1" applyAlignment="1"/>
    <xf numFmtId="0" fontId="2" fillId="0" borderId="12" xfId="0" applyFont="1" applyBorder="1"/>
    <xf numFmtId="0" fontId="0" fillId="0" borderId="6" xfId="0" applyFont="1" applyBorder="1"/>
    <xf numFmtId="0" fontId="2" fillId="0" borderId="6" xfId="0" applyFont="1" applyBorder="1"/>
    <xf numFmtId="0" fontId="3" fillId="5" borderId="0" xfId="0" applyFont="1" applyFill="1"/>
    <xf numFmtId="0" fontId="3" fillId="0" borderId="0" xfId="0" applyFont="1"/>
    <xf numFmtId="0" fontId="1" fillId="5" borderId="4" xfId="0" applyFont="1" applyFill="1" applyBorder="1" applyAlignment="1">
      <alignment vertical="center"/>
    </xf>
    <xf numFmtId="0" fontId="1" fillId="5" borderId="3" xfId="0" applyFont="1" applyFill="1" applyBorder="1"/>
    <xf numFmtId="0" fontId="4" fillId="5" borderId="3" xfId="0" applyFont="1" applyFill="1" applyBorder="1"/>
    <xf numFmtId="0" fontId="4" fillId="5" borderId="5" xfId="0" applyFont="1" applyFill="1" applyBorder="1"/>
    <xf numFmtId="0" fontId="1" fillId="5" borderId="17" xfId="0" applyFont="1" applyFill="1" applyBorder="1" applyAlignment="1">
      <alignment vertical="center"/>
    </xf>
    <xf numFmtId="0" fontId="1" fillId="5" borderId="0" xfId="0" applyFont="1" applyFill="1" applyBorder="1"/>
    <xf numFmtId="0" fontId="4" fillId="5" borderId="0" xfId="0" applyFont="1" applyFill="1" applyBorder="1"/>
    <xf numFmtId="0" fontId="4" fillId="5" borderId="18" xfId="0" applyFont="1" applyFill="1" applyBorder="1"/>
    <xf numFmtId="0" fontId="4" fillId="5" borderId="16" xfId="0" applyFont="1" applyFill="1" applyBorder="1"/>
    <xf numFmtId="0" fontId="4" fillId="5" borderId="14" xfId="0" applyFont="1" applyFill="1" applyBorder="1"/>
    <xf numFmtId="0" fontId="4" fillId="5" borderId="15" xfId="0" applyFont="1" applyFill="1" applyBorder="1"/>
    <xf numFmtId="0" fontId="0" fillId="0" borderId="6" xfId="0" applyBorder="1"/>
    <xf numFmtId="0" fontId="1" fillId="0" borderId="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0" fontId="1" fillId="0" borderId="17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18" xfId="0" applyFont="1" applyBorder="1" applyAlignment="1">
      <alignment horizontal="left" vertical="center" wrapText="1"/>
    </xf>
    <xf numFmtId="0" fontId="1" fillId="0" borderId="16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1" fillId="4" borderId="13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left"/>
    </xf>
    <xf numFmtId="0" fontId="2" fillId="0" borderId="1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3" borderId="4" xfId="0" applyFont="1" applyFill="1" applyBorder="1" applyAlignment="1">
      <alignment horizontal="center" wrapText="1"/>
    </xf>
    <xf numFmtId="0" fontId="3" fillId="3" borderId="3" xfId="0" applyFont="1" applyFill="1" applyBorder="1" applyAlignment="1">
      <alignment horizontal="center" wrapText="1"/>
    </xf>
    <xf numFmtId="0" fontId="3" fillId="3" borderId="5" xfId="0" applyFont="1" applyFill="1" applyBorder="1" applyAlignment="1">
      <alignment horizontal="center" wrapText="1"/>
    </xf>
    <xf numFmtId="0" fontId="3" fillId="3" borderId="16" xfId="0" applyFont="1" applyFill="1" applyBorder="1" applyAlignment="1">
      <alignment horizontal="center" wrapText="1"/>
    </xf>
    <xf numFmtId="0" fontId="3" fillId="3" borderId="14" xfId="0" applyFont="1" applyFill="1" applyBorder="1" applyAlignment="1">
      <alignment horizontal="center" wrapText="1"/>
    </xf>
    <xf numFmtId="0" fontId="3" fillId="3" borderId="15" xfId="0" applyFont="1" applyFill="1" applyBorder="1" applyAlignment="1">
      <alignment horizontal="center" wrapText="1"/>
    </xf>
    <xf numFmtId="0" fontId="3" fillId="2" borderId="7" xfId="0" applyFont="1" applyFill="1" applyBorder="1" applyAlignment="1">
      <alignment horizontal="left"/>
    </xf>
    <xf numFmtId="0" fontId="3" fillId="2" borderId="8" xfId="0" applyFont="1" applyFill="1" applyBorder="1" applyAlignment="1">
      <alignment horizontal="left"/>
    </xf>
    <xf numFmtId="0" fontId="3" fillId="2" borderId="9" xfId="0" applyFont="1" applyFill="1" applyBorder="1" applyAlignment="1">
      <alignment horizontal="left"/>
    </xf>
    <xf numFmtId="0" fontId="3" fillId="2" borderId="10" xfId="0" applyFont="1" applyFill="1" applyBorder="1" applyAlignment="1">
      <alignment horizontal="left"/>
    </xf>
    <xf numFmtId="0" fontId="3" fillId="2" borderId="11" xfId="0" applyFont="1" applyFill="1" applyBorder="1" applyAlignment="1">
      <alignment horizontal="left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Methane Hydrate Stability</a:t>
            </a:r>
            <a:r>
              <a:rPr lang="en-US" b="1" baseline="0"/>
              <a:t>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42818606007583"/>
          <c:y val="9.4169180895336935E-2"/>
          <c:w val="0.85690507436570429"/>
          <c:h val="0.75581550978971102"/>
        </c:manualLayout>
      </c:layout>
      <c:scatterChart>
        <c:scatterStyle val="lineMarker"/>
        <c:varyColors val="0"/>
        <c:ser>
          <c:idx val="0"/>
          <c:order val="0"/>
          <c:tx>
            <c:strRef>
              <c:f>'Hydrate stability test'!$F$5</c:f>
              <c:strCache>
                <c:ptCount val="1"/>
                <c:pt idx="0">
                  <c:v>Salinity = 0 ppt (Tish)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'Hydrate stability test'!$F$7:$F$107</c:f>
              <c:numCache>
                <c:formatCode>General</c:formatCode>
                <c:ptCount val="101"/>
                <c:pt idx="0">
                  <c:v>273.14999999999998</c:v>
                </c:pt>
                <c:pt idx="1">
                  <c:v>273.34999999999997</c:v>
                </c:pt>
                <c:pt idx="2">
                  <c:v>273.54999999999995</c:v>
                </c:pt>
                <c:pt idx="3">
                  <c:v>273.75</c:v>
                </c:pt>
                <c:pt idx="4">
                  <c:v>273.95</c:v>
                </c:pt>
                <c:pt idx="5">
                  <c:v>274.14999999999998</c:v>
                </c:pt>
                <c:pt idx="6">
                  <c:v>274.34999999999997</c:v>
                </c:pt>
                <c:pt idx="7">
                  <c:v>274.54999999999995</c:v>
                </c:pt>
                <c:pt idx="8">
                  <c:v>274.75</c:v>
                </c:pt>
                <c:pt idx="9">
                  <c:v>274.95</c:v>
                </c:pt>
                <c:pt idx="10">
                  <c:v>275.14999999999998</c:v>
                </c:pt>
                <c:pt idx="11">
                  <c:v>275.34999999999997</c:v>
                </c:pt>
                <c:pt idx="12">
                  <c:v>275.54999999999995</c:v>
                </c:pt>
                <c:pt idx="13">
                  <c:v>275.75</c:v>
                </c:pt>
                <c:pt idx="14">
                  <c:v>275.95</c:v>
                </c:pt>
                <c:pt idx="15">
                  <c:v>276.14999999999998</c:v>
                </c:pt>
                <c:pt idx="16">
                  <c:v>276.34999999999997</c:v>
                </c:pt>
                <c:pt idx="17">
                  <c:v>276.54999999999995</c:v>
                </c:pt>
                <c:pt idx="18">
                  <c:v>276.75</c:v>
                </c:pt>
                <c:pt idx="19">
                  <c:v>276.95</c:v>
                </c:pt>
                <c:pt idx="20">
                  <c:v>277.14999999999998</c:v>
                </c:pt>
                <c:pt idx="21">
                  <c:v>277.34999999999997</c:v>
                </c:pt>
                <c:pt idx="22">
                  <c:v>277.54999999999995</c:v>
                </c:pt>
                <c:pt idx="23">
                  <c:v>277.75</c:v>
                </c:pt>
                <c:pt idx="24">
                  <c:v>277.95</c:v>
                </c:pt>
                <c:pt idx="25">
                  <c:v>278.14999999999998</c:v>
                </c:pt>
                <c:pt idx="26">
                  <c:v>278.34999999999997</c:v>
                </c:pt>
                <c:pt idx="27">
                  <c:v>278.54999999999995</c:v>
                </c:pt>
                <c:pt idx="28">
                  <c:v>278.75</c:v>
                </c:pt>
                <c:pt idx="29">
                  <c:v>278.95</c:v>
                </c:pt>
                <c:pt idx="30">
                  <c:v>279.14999999999998</c:v>
                </c:pt>
                <c:pt idx="31">
                  <c:v>279.34999999999997</c:v>
                </c:pt>
                <c:pt idx="32">
                  <c:v>279.54999999999995</c:v>
                </c:pt>
                <c:pt idx="33">
                  <c:v>279.75</c:v>
                </c:pt>
                <c:pt idx="34">
                  <c:v>279.95</c:v>
                </c:pt>
                <c:pt idx="35">
                  <c:v>280.14999999999998</c:v>
                </c:pt>
                <c:pt idx="36">
                  <c:v>280.34999999999997</c:v>
                </c:pt>
                <c:pt idx="37">
                  <c:v>280.54999999999995</c:v>
                </c:pt>
                <c:pt idx="38">
                  <c:v>280.75</c:v>
                </c:pt>
                <c:pt idx="39">
                  <c:v>280.95</c:v>
                </c:pt>
                <c:pt idx="40">
                  <c:v>281.14999999999998</c:v>
                </c:pt>
                <c:pt idx="41">
                  <c:v>281.34999999999997</c:v>
                </c:pt>
                <c:pt idx="42">
                  <c:v>281.54999999999995</c:v>
                </c:pt>
                <c:pt idx="43">
                  <c:v>281.75</c:v>
                </c:pt>
                <c:pt idx="44">
                  <c:v>281.95</c:v>
                </c:pt>
                <c:pt idx="45">
                  <c:v>282.14999999999998</c:v>
                </c:pt>
                <c:pt idx="46">
                  <c:v>282.34999999999997</c:v>
                </c:pt>
                <c:pt idx="47">
                  <c:v>282.54999999999995</c:v>
                </c:pt>
                <c:pt idx="48">
                  <c:v>282.75</c:v>
                </c:pt>
                <c:pt idx="49">
                  <c:v>282.95</c:v>
                </c:pt>
                <c:pt idx="50">
                  <c:v>283.14999999999998</c:v>
                </c:pt>
                <c:pt idx="51">
                  <c:v>283.34999999999997</c:v>
                </c:pt>
                <c:pt idx="52">
                  <c:v>283.54999999999995</c:v>
                </c:pt>
                <c:pt idx="53">
                  <c:v>283.75</c:v>
                </c:pt>
                <c:pt idx="54">
                  <c:v>283.95</c:v>
                </c:pt>
                <c:pt idx="55">
                  <c:v>284.14999999999998</c:v>
                </c:pt>
                <c:pt idx="56">
                  <c:v>284.34999999999997</c:v>
                </c:pt>
                <c:pt idx="57">
                  <c:v>284.54999999999995</c:v>
                </c:pt>
                <c:pt idx="58">
                  <c:v>284.75</c:v>
                </c:pt>
                <c:pt idx="59">
                  <c:v>284.95</c:v>
                </c:pt>
                <c:pt idx="60">
                  <c:v>285.14999999999998</c:v>
                </c:pt>
                <c:pt idx="61">
                  <c:v>285.34999999999997</c:v>
                </c:pt>
                <c:pt idx="62">
                  <c:v>285.54999999999995</c:v>
                </c:pt>
                <c:pt idx="63">
                  <c:v>285.75</c:v>
                </c:pt>
                <c:pt idx="64">
                  <c:v>285.95</c:v>
                </c:pt>
                <c:pt idx="65">
                  <c:v>286.14999999999998</c:v>
                </c:pt>
                <c:pt idx="66">
                  <c:v>286.34999999999997</c:v>
                </c:pt>
                <c:pt idx="67">
                  <c:v>286.54999999999995</c:v>
                </c:pt>
                <c:pt idx="68">
                  <c:v>286.75</c:v>
                </c:pt>
                <c:pt idx="69">
                  <c:v>286.95</c:v>
                </c:pt>
                <c:pt idx="70">
                  <c:v>287.14999999999998</c:v>
                </c:pt>
                <c:pt idx="71">
                  <c:v>287.34999999999997</c:v>
                </c:pt>
                <c:pt idx="72">
                  <c:v>287.54999999999995</c:v>
                </c:pt>
                <c:pt idx="73">
                  <c:v>287.75</c:v>
                </c:pt>
                <c:pt idx="74">
                  <c:v>287.95</c:v>
                </c:pt>
                <c:pt idx="75">
                  <c:v>288.14999999999998</c:v>
                </c:pt>
                <c:pt idx="76">
                  <c:v>288.34999999999997</c:v>
                </c:pt>
                <c:pt idx="77">
                  <c:v>288.54999999999995</c:v>
                </c:pt>
                <c:pt idx="78">
                  <c:v>288.75</c:v>
                </c:pt>
                <c:pt idx="79">
                  <c:v>288.95</c:v>
                </c:pt>
                <c:pt idx="80">
                  <c:v>289.14999999999998</c:v>
                </c:pt>
                <c:pt idx="81">
                  <c:v>289.34999999999997</c:v>
                </c:pt>
                <c:pt idx="82">
                  <c:v>289.54999999999995</c:v>
                </c:pt>
                <c:pt idx="83">
                  <c:v>289.75</c:v>
                </c:pt>
                <c:pt idx="84">
                  <c:v>289.95</c:v>
                </c:pt>
                <c:pt idx="85">
                  <c:v>290.14999999999998</c:v>
                </c:pt>
                <c:pt idx="86">
                  <c:v>290.34999999999997</c:v>
                </c:pt>
                <c:pt idx="87">
                  <c:v>290.54999999999995</c:v>
                </c:pt>
                <c:pt idx="88">
                  <c:v>290.75</c:v>
                </c:pt>
                <c:pt idx="89">
                  <c:v>290.95</c:v>
                </c:pt>
                <c:pt idx="90">
                  <c:v>291.14999999999998</c:v>
                </c:pt>
                <c:pt idx="91">
                  <c:v>291.34999999999997</c:v>
                </c:pt>
                <c:pt idx="92">
                  <c:v>291.54999999999995</c:v>
                </c:pt>
                <c:pt idx="93">
                  <c:v>291.75</c:v>
                </c:pt>
                <c:pt idx="94">
                  <c:v>291.95</c:v>
                </c:pt>
                <c:pt idx="95">
                  <c:v>292.14999999999998</c:v>
                </c:pt>
                <c:pt idx="96">
                  <c:v>292.34999999999997</c:v>
                </c:pt>
                <c:pt idx="97">
                  <c:v>292.54999999999995</c:v>
                </c:pt>
                <c:pt idx="98">
                  <c:v>292.75</c:v>
                </c:pt>
                <c:pt idx="99">
                  <c:v>292.95</c:v>
                </c:pt>
                <c:pt idx="100">
                  <c:v>293.14999999999998</c:v>
                </c:pt>
              </c:numCache>
            </c:numRef>
          </c:xVal>
          <c:yVal>
            <c:numRef>
              <c:f>'Hydrate stability test'!$G$7:$G$107</c:f>
              <c:numCache>
                <c:formatCode>General</c:formatCode>
                <c:ptCount val="101"/>
                <c:pt idx="0">
                  <c:v>2.630544380440103</c:v>
                </c:pt>
                <c:pt idx="1">
                  <c:v>2.6798309521813182</c:v>
                </c:pt>
                <c:pt idx="2">
                  <c:v>2.7302428788848707</c:v>
                </c:pt>
                <c:pt idx="3">
                  <c:v>2.781808119106417</c:v>
                </c:pt>
                <c:pt idx="4">
                  <c:v>2.8345553774266743</c:v>
                </c:pt>
                <c:pt idx="5">
                  <c:v>2.8885141253808015</c:v>
                </c:pt>
                <c:pt idx="6">
                  <c:v>2.9437146229988311</c:v>
                </c:pt>
                <c:pt idx="7">
                  <c:v>3.0001879409753323</c:v>
                </c:pt>
                <c:pt idx="8">
                  <c:v>3.0579659834979842</c:v>
                </c:pt>
                <c:pt idx="9">
                  <c:v>3.1170815117362234</c:v>
                </c:pt>
                <c:pt idx="10">
                  <c:v>3.1775681680266712</c:v>
                </c:pt>
                <c:pt idx="11">
                  <c:v>3.2394605007674957</c:v>
                </c:pt>
                <c:pt idx="12">
                  <c:v>3.3027939900498109</c:v>
                </c:pt>
                <c:pt idx="13">
                  <c:v>3.3676050740419057</c:v>
                </c:pt>
                <c:pt idx="14">
                  <c:v>3.4339311761489606</c:v>
                </c:pt>
                <c:pt idx="15">
                  <c:v>3.5018107329845982</c:v>
                </c:pt>
                <c:pt idx="16">
                  <c:v>3.5712832231576326</c:v>
                </c:pt>
                <c:pt idx="17">
                  <c:v>3.642389196923113</c:v>
                </c:pt>
                <c:pt idx="18">
                  <c:v>3.7151703067002426</c:v>
                </c:pt>
                <c:pt idx="19">
                  <c:v>3.7896693385055422</c:v>
                </c:pt>
                <c:pt idx="20">
                  <c:v>3.8659302443104022</c:v>
                </c:pt>
                <c:pt idx="21">
                  <c:v>3.9439981753662576</c:v>
                </c:pt>
                <c:pt idx="22">
                  <c:v>4.023919516519177</c:v>
                </c:pt>
                <c:pt idx="23">
                  <c:v>4.1057419215450652</c:v>
                </c:pt>
                <c:pt idx="24">
                  <c:v>4.1895143495348179</c:v>
                </c:pt>
                <c:pt idx="25">
                  <c:v>4.2752871023743459</c:v>
                </c:pt>
                <c:pt idx="26">
                  <c:v>4.3631118633308779</c:v>
                </c:pt>
                <c:pt idx="27">
                  <c:v>4.4530417368031525</c:v>
                </c:pt>
                <c:pt idx="28">
                  <c:v>4.5451312892545639</c:v>
                </c:pt>
                <c:pt idx="29">
                  <c:v>4.6394365913705657</c:v>
                </c:pt>
                <c:pt idx="30">
                  <c:v>4.7360152614857123</c:v>
                </c:pt>
                <c:pt idx="31">
                  <c:v>4.8349265103068388</c:v>
                </c:pt>
                <c:pt idx="32">
                  <c:v>4.9362311869820914</c:v>
                </c:pt>
                <c:pt idx="33">
                  <c:v>5.0399918265543349</c:v>
                </c:pt>
                <c:pt idx="34">
                  <c:v>5.1462726988394936</c:v>
                </c:pt>
                <c:pt idx="35">
                  <c:v>5.2551398587785929</c:v>
                </c:pt>
                <c:pt idx="36">
                  <c:v>5.3666611983058559</c:v>
                </c:pt>
                <c:pt idx="37">
                  <c:v>5.4809064997797634</c:v>
                </c:pt>
                <c:pt idx="38">
                  <c:v>5.5979474910321079</c:v>
                </c:pt>
                <c:pt idx="39">
                  <c:v>5.7178579020766431</c:v>
                </c:pt>
                <c:pt idx="40">
                  <c:v>5.840713523527131</c:v>
                </c:pt>
                <c:pt idx="41">
                  <c:v>5.9665922667929125</c:v>
                </c:pt>
                <c:pt idx="42">
                  <c:v>6.0955742260984866</c:v>
                </c:pt>
                <c:pt idx="43">
                  <c:v>6.2277417423724462</c:v>
                </c:pt>
                <c:pt idx="44">
                  <c:v>6.363179469085158</c:v>
                </c:pt>
                <c:pt idx="45">
                  <c:v>6.5019744400866584</c:v>
                </c:pt>
                <c:pt idx="46">
                  <c:v>6.6442161395011903</c:v>
                </c:pt>
                <c:pt idx="47">
                  <c:v>6.7899965737499492</c:v>
                </c:pt>
                <c:pt idx="48">
                  <c:v>6.9394103457738545</c:v>
                </c:pt>
                <c:pt idx="49">
                  <c:v>7.0925547315111421</c:v>
                </c:pt>
                <c:pt idx="50">
                  <c:v>7.2495297587148784</c:v>
                </c:pt>
                <c:pt idx="51">
                  <c:v>7.4104382881656097</c:v>
                </c:pt>
                <c:pt idx="52">
                  <c:v>7.5753860973884919</c:v>
                </c:pt>
                <c:pt idx="53">
                  <c:v>7.7444819669038454</c:v>
                </c:pt>
                <c:pt idx="54">
                  <c:v>7.9178377691393464</c:v>
                </c:pt>
                <c:pt idx="55">
                  <c:v>8.0955685600619987</c:v>
                </c:pt>
                <c:pt idx="56">
                  <c:v>8.2777926736090972</c:v>
                </c:pt>
                <c:pt idx="57">
                  <c:v>8.4646318190388392</c:v>
                </c:pt>
                <c:pt idx="58">
                  <c:v>8.6562111812528801</c:v>
                </c:pt>
                <c:pt idx="59">
                  <c:v>8.8526595242112815</c:v>
                </c:pt>
                <c:pt idx="60">
                  <c:v>9.05410929753236</c:v>
                </c:pt>
                <c:pt idx="61">
                  <c:v>9.2606967463741281</c:v>
                </c:pt>
                <c:pt idx="62">
                  <c:v>9.4725620246943745</c:v>
                </c:pt>
                <c:pt idx="63">
                  <c:v>9.6898493120339744</c:v>
                </c:pt>
                <c:pt idx="64">
                  <c:v>9.9127069338575442</c:v>
                </c:pt>
                <c:pt idx="65">
                  <c:v>10.141287485667419</c:v>
                </c:pt>
                <c:pt idx="66">
                  <c:v>10.375747960915664</c:v>
                </c:pt>
                <c:pt idx="67">
                  <c:v>10.616249882901711</c:v>
                </c:pt>
                <c:pt idx="68">
                  <c:v>10.862959440734834</c:v>
                </c:pt>
                <c:pt idx="69">
                  <c:v>11.116047629532263</c:v>
                </c:pt>
                <c:pt idx="70">
                  <c:v>11.375690394961378</c:v>
                </c:pt>
                <c:pt idx="71">
                  <c:v>11.642068782268657</c:v>
                </c:pt>
                <c:pt idx="72">
                  <c:v>11.915369089932854</c:v>
                </c:pt>
                <c:pt idx="73">
                  <c:v>12.195783028126028</c:v>
                </c:pt>
                <c:pt idx="74">
                  <c:v>12.483507882081101</c:v>
                </c:pt>
                <c:pt idx="75">
                  <c:v>12.778746680558305</c:v>
                </c:pt>
                <c:pt idx="76">
                  <c:v>13.081708369568378</c:v>
                </c:pt>
                <c:pt idx="77">
                  <c:v>13.392607991530765</c:v>
                </c:pt>
                <c:pt idx="78">
                  <c:v>13.711666869984848</c:v>
                </c:pt>
                <c:pt idx="79">
                  <c:v>14.039112800141394</c:v>
                </c:pt>
                <c:pt idx="80">
                  <c:v>14.375180245325968</c:v>
                </c:pt>
                <c:pt idx="81">
                  <c:v>14.720110539631648</c:v>
                </c:pt>
                <c:pt idx="82">
                  <c:v>15.074152096886248</c:v>
                </c:pt>
                <c:pt idx="83">
                  <c:v>15.437560626186356</c:v>
                </c:pt>
                <c:pt idx="84">
                  <c:v>15.810599354200138</c:v>
                </c:pt>
                <c:pt idx="85">
                  <c:v>16.193539254434842</c:v>
                </c:pt>
                <c:pt idx="86">
                  <c:v>16.586659283737088</c:v>
                </c:pt>
                <c:pt idx="87">
                  <c:v>16.990246626211423</c:v>
                </c:pt>
                <c:pt idx="88">
                  <c:v>17.404596944837948</c:v>
                </c:pt>
                <c:pt idx="89">
                  <c:v>17.830014640994236</c:v>
                </c:pt>
                <c:pt idx="90">
                  <c:v>18.266813122185539</c:v>
                </c:pt>
                <c:pt idx="91">
                  <c:v>18.715315078207254</c:v>
                </c:pt>
                <c:pt idx="92">
                  <c:v>19.175852766042411</c:v>
                </c:pt>
                <c:pt idx="93">
                  <c:v>19.648768303736915</c:v>
                </c:pt>
                <c:pt idx="94">
                  <c:v>20.134413973624415</c:v>
                </c:pt>
                <c:pt idx="95">
                  <c:v>20.633152535076881</c:v>
                </c:pt>
                <c:pt idx="96">
                  <c:v>21.145357547227054</c:v>
                </c:pt>
                <c:pt idx="97">
                  <c:v>21.671413701879757</c:v>
                </c:pt>
                <c:pt idx="98">
                  <c:v>22.211717167014683</c:v>
                </c:pt>
                <c:pt idx="99">
                  <c:v>22.766675941170082</c:v>
                </c:pt>
                <c:pt idx="100">
                  <c:v>23.336710219096801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4C-4E30-946A-0A4E5660026A}"/>
            </c:ext>
          </c:extLst>
        </c:ser>
        <c:ser>
          <c:idx val="1"/>
          <c:order val="1"/>
          <c:tx>
            <c:strRef>
              <c:f>'Hydrate stability test'!$C$5</c:f>
              <c:strCache>
                <c:ptCount val="1"/>
                <c:pt idx="0">
                  <c:v>Salinity = 33.5 ppt (Tish)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'Hydrate stability test'!$C$7:$C$107</c:f>
              <c:numCache>
                <c:formatCode>General</c:formatCode>
                <c:ptCount val="101"/>
                <c:pt idx="0">
                  <c:v>273.14999999999998</c:v>
                </c:pt>
                <c:pt idx="1">
                  <c:v>273.34999999999997</c:v>
                </c:pt>
                <c:pt idx="2">
                  <c:v>273.54999999999995</c:v>
                </c:pt>
                <c:pt idx="3">
                  <c:v>273.75</c:v>
                </c:pt>
                <c:pt idx="4">
                  <c:v>273.95</c:v>
                </c:pt>
                <c:pt idx="5">
                  <c:v>274.14999999999998</c:v>
                </c:pt>
                <c:pt idx="6">
                  <c:v>274.34999999999997</c:v>
                </c:pt>
                <c:pt idx="7">
                  <c:v>274.54999999999995</c:v>
                </c:pt>
                <c:pt idx="8">
                  <c:v>274.75</c:v>
                </c:pt>
                <c:pt idx="9">
                  <c:v>274.95</c:v>
                </c:pt>
                <c:pt idx="10">
                  <c:v>275.14999999999998</c:v>
                </c:pt>
                <c:pt idx="11">
                  <c:v>275.34999999999997</c:v>
                </c:pt>
                <c:pt idx="12">
                  <c:v>275.54999999999995</c:v>
                </c:pt>
                <c:pt idx="13">
                  <c:v>275.75</c:v>
                </c:pt>
                <c:pt idx="14">
                  <c:v>275.95</c:v>
                </c:pt>
                <c:pt idx="15">
                  <c:v>276.14999999999998</c:v>
                </c:pt>
                <c:pt idx="16">
                  <c:v>276.34999999999997</c:v>
                </c:pt>
                <c:pt idx="17">
                  <c:v>276.54999999999995</c:v>
                </c:pt>
                <c:pt idx="18">
                  <c:v>276.75</c:v>
                </c:pt>
                <c:pt idx="19">
                  <c:v>276.95</c:v>
                </c:pt>
                <c:pt idx="20">
                  <c:v>277.14999999999998</c:v>
                </c:pt>
                <c:pt idx="21">
                  <c:v>277.34999999999997</c:v>
                </c:pt>
                <c:pt idx="22">
                  <c:v>277.54999999999995</c:v>
                </c:pt>
                <c:pt idx="23">
                  <c:v>277.75</c:v>
                </c:pt>
                <c:pt idx="24">
                  <c:v>277.95</c:v>
                </c:pt>
                <c:pt idx="25">
                  <c:v>278.14999999999998</c:v>
                </c:pt>
                <c:pt idx="26">
                  <c:v>278.34999999999997</c:v>
                </c:pt>
                <c:pt idx="27">
                  <c:v>278.54999999999995</c:v>
                </c:pt>
                <c:pt idx="28">
                  <c:v>278.75</c:v>
                </c:pt>
                <c:pt idx="29">
                  <c:v>278.95</c:v>
                </c:pt>
                <c:pt idx="30">
                  <c:v>279.14999999999998</c:v>
                </c:pt>
                <c:pt idx="31">
                  <c:v>279.34999999999997</c:v>
                </c:pt>
                <c:pt idx="32">
                  <c:v>279.54999999999995</c:v>
                </c:pt>
                <c:pt idx="33">
                  <c:v>279.75</c:v>
                </c:pt>
                <c:pt idx="34">
                  <c:v>279.95</c:v>
                </c:pt>
                <c:pt idx="35">
                  <c:v>280.14999999999998</c:v>
                </c:pt>
                <c:pt idx="36">
                  <c:v>280.34999999999997</c:v>
                </c:pt>
                <c:pt idx="37">
                  <c:v>280.54999999999995</c:v>
                </c:pt>
                <c:pt idx="38">
                  <c:v>280.75</c:v>
                </c:pt>
                <c:pt idx="39">
                  <c:v>280.95</c:v>
                </c:pt>
                <c:pt idx="40">
                  <c:v>281.14999999999998</c:v>
                </c:pt>
                <c:pt idx="41">
                  <c:v>281.34999999999997</c:v>
                </c:pt>
                <c:pt idx="42">
                  <c:v>281.54999999999995</c:v>
                </c:pt>
                <c:pt idx="43">
                  <c:v>281.75</c:v>
                </c:pt>
                <c:pt idx="44">
                  <c:v>281.95</c:v>
                </c:pt>
                <c:pt idx="45">
                  <c:v>282.14999999999998</c:v>
                </c:pt>
                <c:pt idx="46">
                  <c:v>282.34999999999997</c:v>
                </c:pt>
                <c:pt idx="47">
                  <c:v>282.54999999999995</c:v>
                </c:pt>
                <c:pt idx="48">
                  <c:v>282.75</c:v>
                </c:pt>
                <c:pt idx="49">
                  <c:v>282.95</c:v>
                </c:pt>
                <c:pt idx="50">
                  <c:v>283.14999999999998</c:v>
                </c:pt>
                <c:pt idx="51">
                  <c:v>283.34999999999997</c:v>
                </c:pt>
                <c:pt idx="52">
                  <c:v>283.54999999999995</c:v>
                </c:pt>
                <c:pt idx="53">
                  <c:v>283.75</c:v>
                </c:pt>
                <c:pt idx="54">
                  <c:v>283.95</c:v>
                </c:pt>
                <c:pt idx="55">
                  <c:v>284.14999999999998</c:v>
                </c:pt>
                <c:pt idx="56">
                  <c:v>284.34999999999997</c:v>
                </c:pt>
                <c:pt idx="57">
                  <c:v>284.54999999999995</c:v>
                </c:pt>
                <c:pt idx="58">
                  <c:v>284.75</c:v>
                </c:pt>
                <c:pt idx="59">
                  <c:v>284.95</c:v>
                </c:pt>
                <c:pt idx="60">
                  <c:v>285.14999999999998</c:v>
                </c:pt>
                <c:pt idx="61">
                  <c:v>285.34999999999997</c:v>
                </c:pt>
                <c:pt idx="62">
                  <c:v>285.54999999999995</c:v>
                </c:pt>
                <c:pt idx="63">
                  <c:v>285.75</c:v>
                </c:pt>
                <c:pt idx="64">
                  <c:v>285.95</c:v>
                </c:pt>
                <c:pt idx="65">
                  <c:v>286.14999999999998</c:v>
                </c:pt>
                <c:pt idx="66">
                  <c:v>286.34999999999997</c:v>
                </c:pt>
                <c:pt idx="67">
                  <c:v>286.54999999999995</c:v>
                </c:pt>
                <c:pt idx="68">
                  <c:v>286.75</c:v>
                </c:pt>
                <c:pt idx="69">
                  <c:v>286.95</c:v>
                </c:pt>
                <c:pt idx="70">
                  <c:v>287.14999999999998</c:v>
                </c:pt>
                <c:pt idx="71">
                  <c:v>287.34999999999997</c:v>
                </c:pt>
                <c:pt idx="72">
                  <c:v>287.54999999999995</c:v>
                </c:pt>
                <c:pt idx="73">
                  <c:v>287.75</c:v>
                </c:pt>
                <c:pt idx="74">
                  <c:v>287.95</c:v>
                </c:pt>
                <c:pt idx="75">
                  <c:v>288.14999999999998</c:v>
                </c:pt>
                <c:pt idx="76">
                  <c:v>288.34999999999997</c:v>
                </c:pt>
                <c:pt idx="77">
                  <c:v>288.54999999999995</c:v>
                </c:pt>
                <c:pt idx="78">
                  <c:v>288.75</c:v>
                </c:pt>
                <c:pt idx="79">
                  <c:v>288.95</c:v>
                </c:pt>
                <c:pt idx="80">
                  <c:v>289.14999999999998</c:v>
                </c:pt>
                <c:pt idx="81">
                  <c:v>289.34999999999997</c:v>
                </c:pt>
                <c:pt idx="82">
                  <c:v>289.54999999999995</c:v>
                </c:pt>
                <c:pt idx="83">
                  <c:v>289.75</c:v>
                </c:pt>
                <c:pt idx="84">
                  <c:v>289.95</c:v>
                </c:pt>
                <c:pt idx="85">
                  <c:v>290.14999999999998</c:v>
                </c:pt>
                <c:pt idx="86">
                  <c:v>290.34999999999997</c:v>
                </c:pt>
                <c:pt idx="87">
                  <c:v>290.54999999999995</c:v>
                </c:pt>
                <c:pt idx="88">
                  <c:v>290.75</c:v>
                </c:pt>
                <c:pt idx="89">
                  <c:v>290.95</c:v>
                </c:pt>
                <c:pt idx="90">
                  <c:v>291.14999999999998</c:v>
                </c:pt>
                <c:pt idx="91">
                  <c:v>291.34999999999997</c:v>
                </c:pt>
                <c:pt idx="92">
                  <c:v>291.54999999999995</c:v>
                </c:pt>
                <c:pt idx="93">
                  <c:v>291.75</c:v>
                </c:pt>
                <c:pt idx="94">
                  <c:v>291.95</c:v>
                </c:pt>
                <c:pt idx="95">
                  <c:v>292.14999999999998</c:v>
                </c:pt>
                <c:pt idx="96">
                  <c:v>292.34999999999997</c:v>
                </c:pt>
                <c:pt idx="97">
                  <c:v>292.54999999999995</c:v>
                </c:pt>
                <c:pt idx="98">
                  <c:v>292.75</c:v>
                </c:pt>
                <c:pt idx="99">
                  <c:v>292.95</c:v>
                </c:pt>
                <c:pt idx="100">
                  <c:v>293.14999999999998</c:v>
                </c:pt>
              </c:numCache>
            </c:numRef>
          </c:xVal>
          <c:yVal>
            <c:numRef>
              <c:f>'Hydrate stability test'!$D$7:$D$107</c:f>
              <c:numCache>
                <c:formatCode>General</c:formatCode>
                <c:ptCount val="101"/>
                <c:pt idx="0">
                  <c:v>2.9611369345166807</c:v>
                </c:pt>
                <c:pt idx="1">
                  <c:v>3.0181658521108239</c:v>
                </c:pt>
                <c:pt idx="2">
                  <c:v>3.0764297631270976</c:v>
                </c:pt>
                <c:pt idx="3">
                  <c:v>3.1359652436479313</c:v>
                </c:pt>
                <c:pt idx="4">
                  <c:v>3.1968099619626242</c:v>
                </c:pt>
                <c:pt idx="5">
                  <c:v>3.2590027091056277</c:v>
                </c:pt>
                <c:pt idx="6">
                  <c:v>3.32258343114021</c:v>
                </c:pt>
                <c:pt idx="7">
                  <c:v>3.3875932634881503</c:v>
                </c:pt>
                <c:pt idx="8">
                  <c:v>3.4540745623632336</c:v>
                </c:pt>
                <c:pt idx="9">
                  <c:v>3.5220709419953478</c:v>
                </c:pt>
                <c:pt idx="10">
                  <c:v>3.5916273101148204</c:v>
                </c:pt>
                <c:pt idx="11">
                  <c:v>3.6627899057202065</c:v>
                </c:pt>
                <c:pt idx="12">
                  <c:v>3.735606336228813</c:v>
                </c:pt>
                <c:pt idx="13">
                  <c:v>3.8101256170680045</c:v>
                </c:pt>
                <c:pt idx="14">
                  <c:v>3.8863982138627766</c:v>
                </c:pt>
                <c:pt idx="15">
                  <c:v>3.9644760814464615</c:v>
                </c:pt>
                <c:pt idx="16">
                  <c:v>4.0444127094828595</c:v>
                </c:pt>
                <c:pt idx="17">
                  <c:v>4.1262631636367839</c:v>
                </c:pt>
                <c:pt idx="18">
                  <c:v>4.2100841333278476</c:v>
                </c:pt>
                <c:pt idx="19">
                  <c:v>4.2959339759146742</c:v>
                </c:pt>
                <c:pt idx="20">
                  <c:v>4.3838727662310619</c:v>
                </c:pt>
                <c:pt idx="21">
                  <c:v>4.4739623444072487</c:v>
                </c:pt>
                <c:pt idx="22">
                  <c:v>4.5662663657654727</c:v>
                </c:pt>
                <c:pt idx="23">
                  <c:v>4.6608503524055696</c:v>
                </c:pt>
                <c:pt idx="24">
                  <c:v>4.7577817474118405</c:v>
                </c:pt>
                <c:pt idx="25">
                  <c:v>4.8571299659474843</c:v>
                </c:pt>
                <c:pt idx="26">
                  <c:v>4.958966453412347</c:v>
                </c:pt>
                <c:pt idx="27">
                  <c:v>5.0633647399217381</c:v>
                </c:pt>
                <c:pt idx="28">
                  <c:v>5.1704004988457823</c:v>
                </c:pt>
                <c:pt idx="29">
                  <c:v>5.2801516071878858</c:v>
                </c:pt>
                <c:pt idx="30">
                  <c:v>5.3926982044258898</c:v>
                </c:pt>
                <c:pt idx="31">
                  <c:v>5.5081227555150498</c:v>
                </c:pt>
                <c:pt idx="32">
                  <c:v>5.6265101137859324</c:v>
                </c:pt>
                <c:pt idx="33">
                  <c:v>5.7479475851162318</c:v>
                </c:pt>
                <c:pt idx="34">
                  <c:v>5.8725249944235243</c:v>
                </c:pt>
                <c:pt idx="35">
                  <c:v>6.0003347525381443</c:v>
                </c:pt>
                <c:pt idx="36">
                  <c:v>6.1314719247465979</c:v>
                </c:pt>
                <c:pt idx="37">
                  <c:v>6.2660343013174495</c:v>
                </c:pt>
                <c:pt idx="38">
                  <c:v>6.4041224668774506</c:v>
                </c:pt>
                <c:pt idx="39">
                  <c:v>6.5458398726238176</c:v>
                </c:pt>
                <c:pt idx="40">
                  <c:v>6.6912929125277874</c:v>
                </c:pt>
                <c:pt idx="41">
                  <c:v>6.8405909962228328</c:v>
                </c:pt>
                <c:pt idx="42">
                  <c:v>6.9938466228755392</c:v>
                </c:pt>
                <c:pt idx="43">
                  <c:v>7.151175461466627</c:v>
                </c:pt>
                <c:pt idx="44">
                  <c:v>7.312696427501411</c:v>
                </c:pt>
                <c:pt idx="45">
                  <c:v>7.4785317607300303</c:v>
                </c:pt>
                <c:pt idx="46">
                  <c:v>7.6488071064173289</c:v>
                </c:pt>
                <c:pt idx="47">
                  <c:v>7.8236515970136562</c:v>
                </c:pt>
                <c:pt idx="48">
                  <c:v>8.0031979316276853</c:v>
                </c:pt>
                <c:pt idx="49">
                  <c:v>8.1875824597990743</c:v>
                </c:pt>
                <c:pt idx="50">
                  <c:v>8.3769452630661032</c:v>
                </c:pt>
                <c:pt idx="51">
                  <c:v>8.5714302425008881</c:v>
                </c:pt>
                <c:pt idx="52">
                  <c:v>8.7711851962431897</c:v>
                </c:pt>
                <c:pt idx="53">
                  <c:v>8.9763619104417796</c:v>
                </c:pt>
                <c:pt idx="54">
                  <c:v>9.1871162404896509</c:v>
                </c:pt>
                <c:pt idx="55">
                  <c:v>9.4036081948350798</c:v>
                </c:pt>
                <c:pt idx="56">
                  <c:v>9.6260020239980211</c:v>
                </c:pt>
                <c:pt idx="57">
                  <c:v>9.8544662995663206</c:v>
                </c:pt>
                <c:pt idx="58">
                  <c:v>10.089174001849619</c:v>
                </c:pt>
                <c:pt idx="59">
                  <c:v>10.3303026033664</c:v>
                </c:pt>
                <c:pt idx="60">
                  <c:v>10.578034150796643</c:v>
                </c:pt>
                <c:pt idx="61">
                  <c:v>10.832555346661664</c:v>
                </c:pt>
                <c:pt idx="62">
                  <c:v>11.094057634278576</c:v>
                </c:pt>
                <c:pt idx="63">
                  <c:v>11.362737267543334</c:v>
                </c:pt>
                <c:pt idx="64">
                  <c:v>11.638795402485552</c:v>
                </c:pt>
                <c:pt idx="65">
                  <c:v>11.922438161380358</c:v>
                </c:pt>
                <c:pt idx="66">
                  <c:v>12.213876714055418</c:v>
                </c:pt>
                <c:pt idx="67">
                  <c:v>12.513327344606129</c:v>
                </c:pt>
                <c:pt idx="68">
                  <c:v>12.82101152590006</c:v>
                </c:pt>
                <c:pt idx="69">
                  <c:v>13.137155981469924</c:v>
                </c:pt>
                <c:pt idx="70">
                  <c:v>13.461992747642968</c:v>
                </c:pt>
                <c:pt idx="71">
                  <c:v>13.795759232899051</c:v>
                </c:pt>
                <c:pt idx="72">
                  <c:v>14.13869827747749</c:v>
                </c:pt>
                <c:pt idx="73">
                  <c:v>14.491058195071851</c:v>
                </c:pt>
                <c:pt idx="74">
                  <c:v>14.85309282257238</c:v>
                </c:pt>
                <c:pt idx="75">
                  <c:v>15.225061561013268</c:v>
                </c:pt>
                <c:pt idx="76">
                  <c:v>15.607229408941421</c:v>
                </c:pt>
                <c:pt idx="77">
                  <c:v>15.999866983266314</c:v>
                </c:pt>
                <c:pt idx="78">
                  <c:v>16.403250554602533</c:v>
                </c:pt>
                <c:pt idx="79">
                  <c:v>16.817662042842738</c:v>
                </c:pt>
                <c:pt idx="80">
                  <c:v>17.24338903934278</c:v>
                </c:pt>
                <c:pt idx="81">
                  <c:v>17.680724791791757</c:v>
                </c:pt>
                <c:pt idx="82">
                  <c:v>18.129968197640725</c:v>
                </c:pt>
                <c:pt idx="83">
                  <c:v>18.591423781410345</c:v>
                </c:pt>
                <c:pt idx="84">
                  <c:v>19.06540165937783</c:v>
                </c:pt>
                <c:pt idx="85">
                  <c:v>19.552217502604339</c:v>
                </c:pt>
                <c:pt idx="86">
                  <c:v>20.052192475067017</c:v>
                </c:pt>
                <c:pt idx="87">
                  <c:v>20.565653170416812</c:v>
                </c:pt>
                <c:pt idx="88">
                  <c:v>21.092931525843522</c:v>
                </c:pt>
                <c:pt idx="89">
                  <c:v>21.63436473350389</c:v>
                </c:pt>
                <c:pt idx="90">
                  <c:v>22.190295125523676</c:v>
                </c:pt>
                <c:pt idx="91">
                  <c:v>22.761070050896191</c:v>
                </c:pt>
                <c:pt idx="92">
                  <c:v>23.347041729600775</c:v>
                </c:pt>
                <c:pt idx="93">
                  <c:v>23.948567102694199</c:v>
                </c:pt>
                <c:pt idx="94">
                  <c:v>24.566007636596723</c:v>
                </c:pt>
                <c:pt idx="95">
                  <c:v>25.199729145064371</c:v>
                </c:pt>
                <c:pt idx="96">
                  <c:v>25.850101558244734</c:v>
                </c:pt>
                <c:pt idx="97">
                  <c:v>26.517498691875428</c:v>
                </c:pt>
                <c:pt idx="98">
                  <c:v>27.202297979676427</c:v>
                </c:pt>
                <c:pt idx="99">
                  <c:v>27.904880194813838</c:v>
                </c:pt>
                <c:pt idx="100">
                  <c:v>28.625629143012059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4C-4E30-946A-0A4E5660026A}"/>
            </c:ext>
          </c:extLst>
        </c:ser>
        <c:ser>
          <c:idx val="3"/>
          <c:order val="2"/>
          <c:tx>
            <c:strRef>
              <c:f>'Hydrate stability test'!$O$5</c:f>
              <c:strCache>
                <c:ptCount val="1"/>
                <c:pt idx="0">
                  <c:v>Salinity = 33.5 ppt (Duan)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'Hydrate stability test'!$O$7:$O$30</c:f>
              <c:numCache>
                <c:formatCode>General</c:formatCode>
                <c:ptCount val="24"/>
                <c:pt idx="0">
                  <c:v>271.14999999999998</c:v>
                </c:pt>
                <c:pt idx="1">
                  <c:v>272.14999999999998</c:v>
                </c:pt>
                <c:pt idx="2">
                  <c:v>273.14999999999998</c:v>
                </c:pt>
                <c:pt idx="3">
                  <c:v>274.14999999999998</c:v>
                </c:pt>
                <c:pt idx="4">
                  <c:v>275.14999999999998</c:v>
                </c:pt>
                <c:pt idx="5">
                  <c:v>276.14999999999998</c:v>
                </c:pt>
                <c:pt idx="6">
                  <c:v>277.14999999999998</c:v>
                </c:pt>
                <c:pt idx="7">
                  <c:v>278.14999999999998</c:v>
                </c:pt>
                <c:pt idx="8">
                  <c:v>279.14999999999998</c:v>
                </c:pt>
                <c:pt idx="9">
                  <c:v>280.14999999999998</c:v>
                </c:pt>
                <c:pt idx="10">
                  <c:v>281.14999999999998</c:v>
                </c:pt>
                <c:pt idx="11">
                  <c:v>282.14999999999998</c:v>
                </c:pt>
                <c:pt idx="12">
                  <c:v>283.14999999999998</c:v>
                </c:pt>
                <c:pt idx="13">
                  <c:v>284.14999999999998</c:v>
                </c:pt>
                <c:pt idx="14">
                  <c:v>285.14999999999998</c:v>
                </c:pt>
                <c:pt idx="15">
                  <c:v>286.14999999999998</c:v>
                </c:pt>
                <c:pt idx="16">
                  <c:v>287.14999999999998</c:v>
                </c:pt>
                <c:pt idx="17">
                  <c:v>288.14999999999998</c:v>
                </c:pt>
                <c:pt idx="18">
                  <c:v>289.14999999999998</c:v>
                </c:pt>
                <c:pt idx="19">
                  <c:v>290.14999999999998</c:v>
                </c:pt>
                <c:pt idx="20">
                  <c:v>291.14999999999998</c:v>
                </c:pt>
                <c:pt idx="21">
                  <c:v>292.14999999999998</c:v>
                </c:pt>
                <c:pt idx="22">
                  <c:v>293.14999999999998</c:v>
                </c:pt>
                <c:pt idx="23">
                  <c:v>294.14999999999998</c:v>
                </c:pt>
              </c:numCache>
            </c:numRef>
          </c:xVal>
          <c:yVal>
            <c:numRef>
              <c:f>'Hydrate stability test'!$Q$7:$Q$30</c:f>
              <c:numCache>
                <c:formatCode>General</c:formatCode>
                <c:ptCount val="24"/>
                <c:pt idx="0">
                  <c:v>2.4470000000000001</c:v>
                </c:pt>
                <c:pt idx="1">
                  <c:v>2.694</c:v>
                </c:pt>
                <c:pt idx="2">
                  <c:v>2.968</c:v>
                </c:pt>
                <c:pt idx="3">
                  <c:v>3.2700000000000005</c:v>
                </c:pt>
                <c:pt idx="4">
                  <c:v>3.6070000000000002</c:v>
                </c:pt>
                <c:pt idx="5">
                  <c:v>3.9799999999999995</c:v>
                </c:pt>
                <c:pt idx="6">
                  <c:v>4.3959999999999999</c:v>
                </c:pt>
                <c:pt idx="7">
                  <c:v>4.8600000000000003</c:v>
                </c:pt>
                <c:pt idx="8">
                  <c:v>5.38</c:v>
                </c:pt>
                <c:pt idx="9">
                  <c:v>5.9640000000000004</c:v>
                </c:pt>
                <c:pt idx="10">
                  <c:v>6.6219999999999999</c:v>
                </c:pt>
                <c:pt idx="11">
                  <c:v>7.367</c:v>
                </c:pt>
                <c:pt idx="12">
                  <c:v>8.2149999999999999</c:v>
                </c:pt>
                <c:pt idx="13">
                  <c:v>9.1840000000000011</c:v>
                </c:pt>
                <c:pt idx="14">
                  <c:v>10.298999999999999</c:v>
                </c:pt>
                <c:pt idx="15">
                  <c:v>11.589</c:v>
                </c:pt>
                <c:pt idx="16">
                  <c:v>13.088999999999999</c:v>
                </c:pt>
                <c:pt idx="17">
                  <c:v>14.838999999999999</c:v>
                </c:pt>
                <c:pt idx="18">
                  <c:v>16.884</c:v>
                </c:pt>
                <c:pt idx="19">
                  <c:v>19.271000000000001</c:v>
                </c:pt>
                <c:pt idx="20">
                  <c:v>22.044</c:v>
                </c:pt>
                <c:pt idx="21">
                  <c:v>25.243000000000002</c:v>
                </c:pt>
                <c:pt idx="22">
                  <c:v>28.899000000000001</c:v>
                </c:pt>
                <c:pt idx="23">
                  <c:v>33.036000000000001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4C-4E30-946A-0A4E5660026A}"/>
            </c:ext>
          </c:extLst>
        </c:ser>
        <c:ser>
          <c:idx val="4"/>
          <c:order val="3"/>
          <c:tx>
            <c:strRef>
              <c:f>'Hydrate stability test'!$S$5</c:f>
              <c:strCache>
                <c:ptCount val="1"/>
                <c:pt idx="0">
                  <c:v>Salinity = 0 ppt (Duan)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'Hydrate stability test'!$S$7:$S$28</c:f>
              <c:numCache>
                <c:formatCode>General</c:formatCode>
                <c:ptCount val="22"/>
                <c:pt idx="0">
                  <c:v>273.14999999999998</c:v>
                </c:pt>
                <c:pt idx="1">
                  <c:v>274.14999999999998</c:v>
                </c:pt>
                <c:pt idx="2">
                  <c:v>275.14999999999998</c:v>
                </c:pt>
                <c:pt idx="3">
                  <c:v>276.14999999999998</c:v>
                </c:pt>
                <c:pt idx="4">
                  <c:v>277.14999999999998</c:v>
                </c:pt>
                <c:pt idx="5">
                  <c:v>278.14999999999998</c:v>
                </c:pt>
                <c:pt idx="6">
                  <c:v>279.14999999999998</c:v>
                </c:pt>
                <c:pt idx="7">
                  <c:v>280.14999999999998</c:v>
                </c:pt>
                <c:pt idx="8">
                  <c:v>281.14999999999998</c:v>
                </c:pt>
                <c:pt idx="9">
                  <c:v>282.14999999999998</c:v>
                </c:pt>
                <c:pt idx="10">
                  <c:v>283.14999999999998</c:v>
                </c:pt>
                <c:pt idx="11">
                  <c:v>284.14999999999998</c:v>
                </c:pt>
                <c:pt idx="12">
                  <c:v>285.14999999999998</c:v>
                </c:pt>
                <c:pt idx="13">
                  <c:v>286.14999999999998</c:v>
                </c:pt>
                <c:pt idx="14">
                  <c:v>287.14999999999998</c:v>
                </c:pt>
                <c:pt idx="15">
                  <c:v>288.14999999999998</c:v>
                </c:pt>
                <c:pt idx="16">
                  <c:v>289.14999999999998</c:v>
                </c:pt>
                <c:pt idx="17">
                  <c:v>290.14999999999998</c:v>
                </c:pt>
                <c:pt idx="18">
                  <c:v>291.14999999999998</c:v>
                </c:pt>
                <c:pt idx="19">
                  <c:v>292.14999999999998</c:v>
                </c:pt>
                <c:pt idx="20">
                  <c:v>293.14999999999998</c:v>
                </c:pt>
                <c:pt idx="21">
                  <c:v>294.14999999999998</c:v>
                </c:pt>
              </c:numCache>
            </c:numRef>
          </c:xVal>
          <c:yVal>
            <c:numRef>
              <c:f>'Hydrate stability test'!$U$7:$U$28</c:f>
              <c:numCache>
                <c:formatCode>General</c:formatCode>
                <c:ptCount val="22"/>
                <c:pt idx="0">
                  <c:v>2.617</c:v>
                </c:pt>
                <c:pt idx="1">
                  <c:v>2.8809999999999998</c:v>
                </c:pt>
                <c:pt idx="2">
                  <c:v>3.173</c:v>
                </c:pt>
                <c:pt idx="3">
                  <c:v>3.4969999999999999</c:v>
                </c:pt>
                <c:pt idx="4">
                  <c:v>3.8560000000000003</c:v>
                </c:pt>
                <c:pt idx="5">
                  <c:v>4.2549999999999999</c:v>
                </c:pt>
                <c:pt idx="6">
                  <c:v>4.7</c:v>
                </c:pt>
                <c:pt idx="7">
                  <c:v>5.1970000000000001</c:v>
                </c:pt>
                <c:pt idx="8">
                  <c:v>5.7539999999999996</c:v>
                </c:pt>
                <c:pt idx="9">
                  <c:v>6.38</c:v>
                </c:pt>
                <c:pt idx="10">
                  <c:v>7.0870000000000006</c:v>
                </c:pt>
                <c:pt idx="11">
                  <c:v>7.8879999999999999</c:v>
                </c:pt>
                <c:pt idx="12">
                  <c:v>8.8010000000000002</c:v>
                </c:pt>
                <c:pt idx="13">
                  <c:v>9.8480000000000008</c:v>
                </c:pt>
                <c:pt idx="14">
                  <c:v>11.053000000000001</c:v>
                </c:pt>
                <c:pt idx="15">
                  <c:v>12.448</c:v>
                </c:pt>
                <c:pt idx="16">
                  <c:v>14.071000000000002</c:v>
                </c:pt>
                <c:pt idx="17">
                  <c:v>15.962999999999999</c:v>
                </c:pt>
                <c:pt idx="18">
                  <c:v>18.169</c:v>
                </c:pt>
                <c:pt idx="19">
                  <c:v>20.733000000000001</c:v>
                </c:pt>
                <c:pt idx="20">
                  <c:v>23.696999999999999</c:v>
                </c:pt>
                <c:pt idx="21">
                  <c:v>27.097000000000001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4C-4E30-946A-0A4E56600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297856"/>
        <c:axId val="1756860656"/>
      </c:scatterChart>
      <c:valAx>
        <c:axId val="1746297856"/>
        <c:scaling>
          <c:orientation val="minMax"/>
          <c:max val="293"/>
          <c:min val="27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nb-NO" b="1"/>
                  <a:t>Temperature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6860656"/>
        <c:crosses val="autoZero"/>
        <c:crossBetween val="midCat"/>
      </c:valAx>
      <c:valAx>
        <c:axId val="1756860656"/>
        <c:scaling>
          <c:orientation val="minMax"/>
          <c:max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nb-NO" b="1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46297856"/>
        <c:crosses val="autoZero"/>
        <c:crossBetween val="midCat"/>
      </c:valAx>
      <c:spPr>
        <a:noFill/>
        <a:ln w="15875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6579111986001749"/>
          <c:y val="0.10503390201224846"/>
          <c:w val="0.36423716451469346"/>
          <c:h val="0.318620941461071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Methane Solubility</a:t>
            </a:r>
            <a:r>
              <a:rPr lang="en-US" b="1" baseline="0"/>
              <a:t> in Aqueous Phase at </a:t>
            </a:r>
            <a:r>
              <a:rPr lang="en-US" b="1"/>
              <a:t>P = 15 MPa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 = 15 MPa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'Methane Solubility'!$D$10:$D$24</c:f>
              <c:numCache>
                <c:formatCode>General</c:formatCode>
                <c:ptCount val="15"/>
                <c:pt idx="0">
                  <c:v>273</c:v>
                </c:pt>
                <c:pt idx="1">
                  <c:v>274</c:v>
                </c:pt>
                <c:pt idx="2">
                  <c:v>275</c:v>
                </c:pt>
                <c:pt idx="3">
                  <c:v>276</c:v>
                </c:pt>
                <c:pt idx="4">
                  <c:v>277</c:v>
                </c:pt>
                <c:pt idx="5">
                  <c:v>278</c:v>
                </c:pt>
                <c:pt idx="6">
                  <c:v>279</c:v>
                </c:pt>
                <c:pt idx="7">
                  <c:v>280</c:v>
                </c:pt>
                <c:pt idx="8">
                  <c:v>281</c:v>
                </c:pt>
                <c:pt idx="9">
                  <c:v>282</c:v>
                </c:pt>
                <c:pt idx="10">
                  <c:v>283</c:v>
                </c:pt>
                <c:pt idx="11">
                  <c:v>284</c:v>
                </c:pt>
                <c:pt idx="12">
                  <c:v>285</c:v>
                </c:pt>
                <c:pt idx="13">
                  <c:v>286</c:v>
                </c:pt>
                <c:pt idx="14">
                  <c:v>287</c:v>
                </c:pt>
              </c:numCache>
            </c:numRef>
          </c:xVal>
          <c:yVal>
            <c:numRef>
              <c:f>'Methane Solubility'!$E$10:$E$24</c:f>
              <c:numCache>
                <c:formatCode>General</c:formatCode>
                <c:ptCount val="15"/>
                <c:pt idx="0">
                  <c:v>4.9124936843696641E-2</c:v>
                </c:pt>
                <c:pt idx="1">
                  <c:v>5.1854063875991431E-2</c:v>
                </c:pt>
                <c:pt idx="2">
                  <c:v>5.4865705994421241E-2</c:v>
                </c:pt>
                <c:pt idx="3">
                  <c:v>5.8166474177788786E-2</c:v>
                </c:pt>
                <c:pt idx="4">
                  <c:v>6.1762687336062806E-2</c:v>
                </c:pt>
                <c:pt idx="5">
                  <c:v>6.5660044348944388E-2</c:v>
                </c:pt>
                <c:pt idx="6">
                  <c:v>6.9863333384815415E-2</c:v>
                </c:pt>
                <c:pt idx="7">
                  <c:v>7.437618823782266E-2</c:v>
                </c:pt>
                <c:pt idx="8">
                  <c:v>7.9200904952613227E-2</c:v>
                </c:pt>
                <c:pt idx="9">
                  <c:v>8.4338335009854548E-2</c:v>
                </c:pt>
                <c:pt idx="10">
                  <c:v>8.978787406531849E-2</c:v>
                </c:pt>
                <c:pt idx="11">
                  <c:v>9.5547567580200859E-2</c:v>
                </c:pt>
                <c:pt idx="12">
                  <c:v>0.10161435642249862</c:v>
                </c:pt>
                <c:pt idx="13">
                  <c:v>0.10798448695819778</c:v>
                </c:pt>
                <c:pt idx="14">
                  <c:v>0.1146541107725593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8-40C1-A0C2-2659FC248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2131584"/>
        <c:axId val="1048317840"/>
      </c:scatterChart>
      <c:valAx>
        <c:axId val="104213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Temperature, 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48317840"/>
        <c:crosses val="autoZero"/>
        <c:crossBetween val="midCat"/>
      </c:valAx>
      <c:valAx>
        <c:axId val="1048317840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Methane Solubility, mol/kg of water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42131584"/>
        <c:crosses val="autoZero"/>
        <c:crossBetween val="midCat"/>
      </c:valAx>
      <c:spPr>
        <a:noFill/>
        <a:ln w="1905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Methane Solubility</a:t>
            </a:r>
            <a:r>
              <a:rPr lang="en-US" b="1" baseline="0"/>
              <a:t> in Aqueous Phase at T</a:t>
            </a:r>
            <a:r>
              <a:rPr lang="en-US" b="1"/>
              <a:t> = 273 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'Methane Solubility'!$T$8:$T$22</c:f>
              <c:numCache>
                <c:formatCode>General</c:formatCode>
                <c:ptCount val="1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</c:numCache>
            </c:numRef>
          </c:xVal>
          <c:yVal>
            <c:numRef>
              <c:f>'Methane Solubility'!$V$8:$V$22</c:f>
              <c:numCache>
                <c:formatCode>General</c:formatCode>
                <c:ptCount val="15"/>
                <c:pt idx="0">
                  <c:v>5.0655192095484317E-2</c:v>
                </c:pt>
                <c:pt idx="1">
                  <c:v>5.0490067465534264E-2</c:v>
                </c:pt>
                <c:pt idx="2">
                  <c:v>5.0327691075489032E-2</c:v>
                </c:pt>
                <c:pt idx="3">
                  <c:v>5.0168039848875939E-2</c:v>
                </c:pt>
                <c:pt idx="4">
                  <c:v>5.0011091141374586E-2</c:v>
                </c:pt>
                <c:pt idx="5">
                  <c:v>4.9856822735474579E-2</c:v>
                </c:pt>
                <c:pt idx="6">
                  <c:v>4.9705212835243845E-2</c:v>
                </c:pt>
                <c:pt idx="7">
                  <c:v>4.9556240061205334E-2</c:v>
                </c:pt>
                <c:pt idx="8">
                  <c:v>4.9409883445321039E-2</c:v>
                </c:pt>
                <c:pt idx="9">
                  <c:v>4.9266122426081055E-2</c:v>
                </c:pt>
                <c:pt idx="10">
                  <c:v>4.9124936843696641E-2</c:v>
                </c:pt>
                <c:pt idx="11">
                  <c:v>4.898630693539531E-2</c:v>
                </c:pt>
                <c:pt idx="12">
                  <c:v>4.8850213330816454E-2</c:v>
                </c:pt>
                <c:pt idx="13">
                  <c:v>4.871663704750645E-2</c:v>
                </c:pt>
                <c:pt idx="14">
                  <c:v>4.8585559486511033E-2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6C-425E-8FBD-0C0F31EA1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2131584"/>
        <c:axId val="1048317840"/>
      </c:scatterChart>
      <c:valAx>
        <c:axId val="104213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Pressure,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48317840"/>
        <c:crosses val="autoZero"/>
        <c:crossBetween val="midCat"/>
      </c:valAx>
      <c:valAx>
        <c:axId val="1048317840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Methane Solubility, mol/kg of water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42131584"/>
        <c:crosses val="autoZero"/>
        <c:crossBetween val="midCat"/>
      </c:valAx>
      <c:spPr>
        <a:noFill/>
        <a:ln w="1905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134938</xdr:colOff>
      <xdr:row>28</xdr:row>
      <xdr:rowOff>26986</xdr:rowOff>
    </xdr:from>
    <xdr:to>
      <xdr:col>30</xdr:col>
      <xdr:colOff>134938</xdr:colOff>
      <xdr:row>47</xdr:row>
      <xdr:rowOff>74612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2D2866-D97E-4A47-9EF1-6D850AF551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142875</xdr:colOff>
      <xdr:row>3</xdr:row>
      <xdr:rowOff>174625</xdr:rowOff>
    </xdr:from>
    <xdr:to>
      <xdr:col>30</xdr:col>
      <xdr:colOff>605670</xdr:colOff>
      <xdr:row>27</xdr:row>
      <xdr:rowOff>186405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BF916C2-AE02-42F4-9730-7477A1677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7813" y="912813"/>
          <a:ext cx="5963482" cy="4782217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0.21039</cdr:x>
      <cdr:y>0.41455</cdr:y>
    </cdr:from>
    <cdr:to>
      <cdr:x>0.54949</cdr:x>
      <cdr:y>0.49356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7F1389C-4EF8-4BA2-9099-97DB2FC29BCE}"/>
            </a:ext>
          </a:extLst>
        </cdr:cNvPr>
        <cdr:cNvSpPr txBox="1"/>
      </cdr:nvSpPr>
      <cdr:spPr>
        <a:xfrm xmlns:a="http://schemas.openxmlformats.org/drawingml/2006/main">
          <a:off x="1157287" y="1582739"/>
          <a:ext cx="1865313" cy="301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ppt</a:t>
          </a:r>
          <a:r>
            <a:rPr lang="en-US" sz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= parts per thousand</a:t>
          </a:r>
          <a:endParaRPr lang="en-US" sz="1200">
            <a:solidFill>
              <a:schemeClr val="tx1">
                <a:lumMod val="65000"/>
                <a:lumOff val="3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247649</xdr:colOff>
      <xdr:row>25</xdr:row>
      <xdr:rowOff>119061</xdr:rowOff>
    </xdr:from>
    <xdr:to>
      <xdr:col>10</xdr:col>
      <xdr:colOff>1000124</xdr:colOff>
      <xdr:row>45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B4B0FD-1A9E-430C-BFA0-63B3CA8B8E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123825</xdr:colOff>
      <xdr:row>23</xdr:row>
      <xdr:rowOff>19050</xdr:rowOff>
    </xdr:from>
    <xdr:to>
      <xdr:col>25</xdr:col>
      <xdr:colOff>123825</xdr:colOff>
      <xdr:row>42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E2EF649-80B7-4A48-A1D8-2AF8E43D42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139DE-0CA3-466E-B2BE-F8874EEB5D78}">
  <sheetPr codeName="Sheet2"/>
  <dimension ref="A1:M33"/>
  <sheetViews>
    <sheetView workbookViewId="0">
      <selection activeCell="O8" sqref="O8"/>
    </sheetView>
  </sheetViews>
  <sheetFormatPr defaultRowHeight="15" x14ac:dyDescent="0.25"/>
  <cols>
    <col min="13" max="13" width="20.85546875" customWidth="1"/>
  </cols>
  <sheetData>
    <row r="1" spans="1:13" ht="15.75" x14ac:dyDescent="0.25">
      <c r="A1" s="10" t="s">
        <v>13</v>
      </c>
      <c r="B1" s="11"/>
      <c r="C1" s="11"/>
      <c r="D1" s="11"/>
      <c r="E1" s="11"/>
      <c r="F1" s="11"/>
      <c r="G1" s="11"/>
      <c r="H1" s="11"/>
      <c r="I1" s="11"/>
      <c r="J1" s="11"/>
      <c r="K1" s="12"/>
      <c r="L1" s="12"/>
      <c r="M1" s="13"/>
    </row>
    <row r="2" spans="1:13" ht="15.75" x14ac:dyDescent="0.25">
      <c r="A2" s="14"/>
      <c r="B2" s="15"/>
      <c r="C2" s="15"/>
      <c r="D2" s="15"/>
      <c r="E2" s="15"/>
      <c r="F2" s="15"/>
      <c r="G2" s="15"/>
      <c r="H2" s="15"/>
      <c r="I2" s="15"/>
      <c r="J2" s="15"/>
      <c r="K2" s="16"/>
      <c r="L2" s="16"/>
      <c r="M2" s="17"/>
    </row>
    <row r="3" spans="1:13" ht="15.75" x14ac:dyDescent="0.25">
      <c r="A3" s="14" t="s">
        <v>14</v>
      </c>
      <c r="B3" s="15"/>
      <c r="C3" s="15"/>
      <c r="D3" s="15"/>
      <c r="E3" s="15"/>
      <c r="F3" s="15"/>
      <c r="G3" s="15"/>
      <c r="H3" s="15"/>
      <c r="I3" s="15"/>
      <c r="J3" s="15"/>
      <c r="K3" s="16"/>
      <c r="L3" s="16"/>
      <c r="M3" s="17"/>
    </row>
    <row r="4" spans="1:13" ht="15.75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6"/>
      <c r="L4" s="16"/>
      <c r="M4" s="17"/>
    </row>
    <row r="5" spans="1:13" ht="15.75" x14ac:dyDescent="0.25">
      <c r="A5" s="14" t="s">
        <v>15</v>
      </c>
      <c r="B5" s="15"/>
      <c r="C5" s="15"/>
      <c r="D5" s="15"/>
      <c r="E5" s="15"/>
      <c r="F5" s="15"/>
      <c r="G5" s="15"/>
      <c r="H5" s="15"/>
      <c r="I5" s="15"/>
      <c r="J5" s="15"/>
      <c r="K5" s="16"/>
      <c r="L5" s="16"/>
      <c r="M5" s="17"/>
    </row>
    <row r="6" spans="1:13" ht="15.75" x14ac:dyDescent="0.25">
      <c r="A6" s="14" t="s">
        <v>16</v>
      </c>
      <c r="B6" s="15"/>
      <c r="C6" s="15"/>
      <c r="D6" s="15"/>
      <c r="E6" s="15"/>
      <c r="F6" s="15"/>
      <c r="G6" s="15"/>
      <c r="H6" s="15"/>
      <c r="I6" s="15"/>
      <c r="J6" s="15"/>
      <c r="K6" s="16"/>
      <c r="L6" s="16"/>
      <c r="M6" s="17"/>
    </row>
    <row r="7" spans="1:13" ht="15.75" x14ac:dyDescent="0.25">
      <c r="A7" s="14" t="s">
        <v>17</v>
      </c>
      <c r="B7" s="15"/>
      <c r="C7" s="15"/>
      <c r="D7" s="15"/>
      <c r="E7" s="15"/>
      <c r="F7" s="15"/>
      <c r="G7" s="15"/>
      <c r="H7" s="15"/>
      <c r="I7" s="15"/>
      <c r="J7" s="15"/>
      <c r="K7" s="16"/>
      <c r="L7" s="16"/>
      <c r="M7" s="17"/>
    </row>
    <row r="8" spans="1:13" ht="15.75" x14ac:dyDescent="0.25">
      <c r="A8" s="14" t="s">
        <v>18</v>
      </c>
      <c r="B8" s="15"/>
      <c r="C8" s="15"/>
      <c r="D8" s="15"/>
      <c r="E8" s="15"/>
      <c r="F8" s="15"/>
      <c r="G8" s="15"/>
      <c r="H8" s="15"/>
      <c r="I8" s="15"/>
      <c r="J8" s="15"/>
      <c r="K8" s="16"/>
      <c r="L8" s="16"/>
      <c r="M8" s="17"/>
    </row>
    <row r="9" spans="1:13" ht="15.75" x14ac:dyDescent="0.25">
      <c r="A9" s="14" t="s">
        <v>19</v>
      </c>
      <c r="B9" s="15"/>
      <c r="C9" s="15"/>
      <c r="D9" s="15"/>
      <c r="E9" s="15"/>
      <c r="F9" s="15"/>
      <c r="G9" s="15"/>
      <c r="H9" s="15"/>
      <c r="I9" s="15"/>
      <c r="J9" s="15"/>
      <c r="K9" s="16"/>
      <c r="L9" s="16"/>
      <c r="M9" s="17"/>
    </row>
    <row r="10" spans="1:13" ht="15.75" x14ac:dyDescent="0.25">
      <c r="A10" s="14" t="s">
        <v>20</v>
      </c>
      <c r="B10" s="15"/>
      <c r="C10" s="15"/>
      <c r="D10" s="15"/>
      <c r="E10" s="15"/>
      <c r="F10" s="15"/>
      <c r="G10" s="15"/>
      <c r="H10" s="15"/>
      <c r="I10" s="15"/>
      <c r="J10" s="15"/>
      <c r="K10" s="16"/>
      <c r="L10" s="16"/>
      <c r="M10" s="17"/>
    </row>
    <row r="11" spans="1:13" ht="15.75" x14ac:dyDescent="0.25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6"/>
      <c r="L11" s="16"/>
      <c r="M11" s="17"/>
    </row>
    <row r="12" spans="1:13" ht="15.75" x14ac:dyDescent="0.25">
      <c r="A12" s="14" t="s">
        <v>21</v>
      </c>
      <c r="B12" s="15"/>
      <c r="C12" s="15"/>
      <c r="D12" s="15"/>
      <c r="E12" s="15"/>
      <c r="F12" s="15"/>
      <c r="G12" s="15"/>
      <c r="H12" s="15"/>
      <c r="I12" s="15"/>
      <c r="J12" s="15"/>
      <c r="K12" s="16"/>
      <c r="L12" s="16"/>
      <c r="M12" s="17"/>
    </row>
    <row r="13" spans="1:13" ht="15.75" x14ac:dyDescent="0.25">
      <c r="A13" s="14" t="s">
        <v>22</v>
      </c>
      <c r="B13" s="15"/>
      <c r="C13" s="15"/>
      <c r="D13" s="15"/>
      <c r="E13" s="15"/>
      <c r="F13" s="15"/>
      <c r="G13" s="15"/>
      <c r="H13" s="15"/>
      <c r="I13" s="15"/>
      <c r="J13" s="15"/>
      <c r="K13" s="16"/>
      <c r="L13" s="16"/>
      <c r="M13" s="17"/>
    </row>
    <row r="14" spans="1:13" ht="15.75" x14ac:dyDescent="0.25">
      <c r="A14" s="14"/>
      <c r="B14" s="15"/>
      <c r="C14" s="15"/>
      <c r="D14" s="15"/>
      <c r="E14" s="15"/>
      <c r="F14" s="15"/>
      <c r="G14" s="15"/>
      <c r="H14" s="15"/>
      <c r="I14" s="15"/>
      <c r="J14" s="15"/>
      <c r="K14" s="16"/>
      <c r="L14" s="16"/>
      <c r="M14" s="17"/>
    </row>
    <row r="15" spans="1:13" ht="15.75" x14ac:dyDescent="0.25">
      <c r="A15" s="14" t="s">
        <v>23</v>
      </c>
      <c r="B15" s="15"/>
      <c r="C15" s="15"/>
      <c r="D15" s="15"/>
      <c r="E15" s="15"/>
      <c r="F15" s="15"/>
      <c r="G15" s="15"/>
      <c r="H15" s="15"/>
      <c r="I15" s="15"/>
      <c r="J15" s="15"/>
      <c r="K15" s="16"/>
      <c r="L15" s="16"/>
      <c r="M15" s="17"/>
    </row>
    <row r="16" spans="1:13" ht="15.75" x14ac:dyDescent="0.25">
      <c r="A16" s="14" t="s">
        <v>24</v>
      </c>
      <c r="B16" s="15"/>
      <c r="C16" s="15"/>
      <c r="D16" s="15"/>
      <c r="E16" s="15"/>
      <c r="F16" s="15"/>
      <c r="G16" s="15"/>
      <c r="H16" s="15"/>
      <c r="I16" s="15"/>
      <c r="J16" s="15"/>
      <c r="K16" s="16"/>
      <c r="L16" s="16"/>
      <c r="M16" s="17"/>
    </row>
    <row r="17" spans="1:13" ht="15.75" x14ac:dyDescent="0.25">
      <c r="A17" s="14" t="s">
        <v>25</v>
      </c>
      <c r="B17" s="15"/>
      <c r="C17" s="15"/>
      <c r="D17" s="15"/>
      <c r="E17" s="15"/>
      <c r="F17" s="15"/>
      <c r="G17" s="15"/>
      <c r="H17" s="15"/>
      <c r="I17" s="15"/>
      <c r="J17" s="15"/>
      <c r="K17" s="16"/>
      <c r="L17" s="16"/>
      <c r="M17" s="17"/>
    </row>
    <row r="18" spans="1:13" ht="15.75" x14ac:dyDescent="0.25">
      <c r="A18" s="14" t="s">
        <v>26</v>
      </c>
      <c r="B18" s="15"/>
      <c r="C18" s="15"/>
      <c r="D18" s="15"/>
      <c r="E18" s="15"/>
      <c r="F18" s="15"/>
      <c r="G18" s="15"/>
      <c r="H18" s="15"/>
      <c r="I18" s="15"/>
      <c r="J18" s="15"/>
      <c r="K18" s="16"/>
      <c r="L18" s="16"/>
      <c r="M18" s="17"/>
    </row>
    <row r="19" spans="1:13" ht="15.75" x14ac:dyDescent="0.25">
      <c r="A19" s="14" t="s">
        <v>27</v>
      </c>
      <c r="B19" s="15"/>
      <c r="C19" s="15"/>
      <c r="D19" s="15"/>
      <c r="E19" s="15"/>
      <c r="F19" s="15"/>
      <c r="G19" s="15"/>
      <c r="H19" s="15"/>
      <c r="I19" s="15"/>
      <c r="J19" s="15"/>
      <c r="K19" s="16"/>
      <c r="L19" s="16"/>
      <c r="M19" s="17"/>
    </row>
    <row r="20" spans="1:13" ht="15.75" x14ac:dyDescent="0.25">
      <c r="A20" s="14" t="s">
        <v>28</v>
      </c>
      <c r="B20" s="15"/>
      <c r="C20" s="15"/>
      <c r="D20" s="15"/>
      <c r="E20" s="15"/>
      <c r="F20" s="15"/>
      <c r="G20" s="15"/>
      <c r="H20" s="15"/>
      <c r="I20" s="15"/>
      <c r="J20" s="15"/>
      <c r="K20" s="16"/>
      <c r="L20" s="16"/>
      <c r="M20" s="17"/>
    </row>
    <row r="21" spans="1:13" ht="15.75" x14ac:dyDescent="0.25">
      <c r="A21" s="14" t="s">
        <v>29</v>
      </c>
      <c r="B21" s="15"/>
      <c r="C21" s="15"/>
      <c r="D21" s="15"/>
      <c r="E21" s="15"/>
      <c r="F21" s="15"/>
      <c r="G21" s="15"/>
      <c r="H21" s="15"/>
      <c r="I21" s="15"/>
      <c r="J21" s="15"/>
      <c r="K21" s="16"/>
      <c r="L21" s="16"/>
      <c r="M21" s="17"/>
    </row>
    <row r="22" spans="1:13" ht="16.5" thickBot="1" x14ac:dyDescent="0.3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20"/>
    </row>
    <row r="23" spans="1:13" ht="15.75" thickBot="1" x14ac:dyDescent="0.3"/>
    <row r="24" spans="1:13" ht="19.5" thickBot="1" x14ac:dyDescent="0.35">
      <c r="A24" s="31" t="s">
        <v>30</v>
      </c>
      <c r="B24" s="32"/>
      <c r="C24" s="32"/>
      <c r="D24" s="33"/>
    </row>
    <row r="25" spans="1:13" ht="15.75" thickBot="1" x14ac:dyDescent="0.3"/>
    <row r="26" spans="1:13" x14ac:dyDescent="0.25">
      <c r="A26" s="22" t="s">
        <v>31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4"/>
    </row>
    <row r="27" spans="1:13" x14ac:dyDescent="0.25">
      <c r="A27" s="25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7"/>
    </row>
    <row r="28" spans="1:13" x14ac:dyDescent="0.25">
      <c r="A28" s="25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7"/>
    </row>
    <row r="29" spans="1:13" x14ac:dyDescent="0.25">
      <c r="A29" s="25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7"/>
    </row>
    <row r="30" spans="1:13" x14ac:dyDescent="0.25">
      <c r="A30" s="25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7"/>
    </row>
    <row r="31" spans="1:13" x14ac:dyDescent="0.25">
      <c r="A31" s="25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7"/>
    </row>
    <row r="32" spans="1:13" x14ac:dyDescent="0.25">
      <c r="A32" s="25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7"/>
    </row>
    <row r="33" spans="1:13" ht="15.75" thickBot="1" x14ac:dyDescent="0.3">
      <c r="A33" s="28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30"/>
    </row>
  </sheetData>
  <mergeCells count="2">
    <mergeCell ref="A26:M33"/>
    <mergeCell ref="A24:D2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62056-0D97-495A-AA1A-45C8E4401F07}">
  <sheetPr codeName="Sheet1"/>
  <dimension ref="A1:X107"/>
  <sheetViews>
    <sheetView zoomScaleNormal="100" workbookViewId="0">
      <selection sqref="A1:W3"/>
    </sheetView>
  </sheetViews>
  <sheetFormatPr defaultRowHeight="15.75" x14ac:dyDescent="0.25"/>
  <cols>
    <col min="1" max="14" width="9.140625" style="1"/>
    <col min="15" max="15" width="9.42578125" style="1" bestFit="1" customWidth="1"/>
    <col min="16" max="16384" width="9.140625" style="1"/>
  </cols>
  <sheetData>
    <row r="1" spans="1:24" s="8" customFormat="1" ht="19.5" thickBot="1" x14ac:dyDescent="0.35">
      <c r="A1" s="34" t="s">
        <v>12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6"/>
    </row>
    <row r="2" spans="1:24" s="9" customFormat="1" ht="19.5" thickBot="1" x14ac:dyDescent="0.35">
      <c r="A2" s="46" t="s">
        <v>7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8"/>
      <c r="Q2" s="40" t="s">
        <v>11</v>
      </c>
      <c r="R2" s="41"/>
      <c r="S2" s="41"/>
      <c r="T2" s="41"/>
      <c r="U2" s="41"/>
      <c r="V2" s="41"/>
      <c r="W2" s="42"/>
    </row>
    <row r="3" spans="1:24" s="9" customFormat="1" ht="19.5" thickBot="1" x14ac:dyDescent="0.35">
      <c r="A3" s="46" t="s">
        <v>8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9"/>
      <c r="P3" s="50"/>
      <c r="Q3" s="43"/>
      <c r="R3" s="44"/>
      <c r="S3" s="44"/>
      <c r="T3" s="44"/>
      <c r="U3" s="44"/>
      <c r="V3" s="44"/>
      <c r="W3" s="45"/>
    </row>
    <row r="4" spans="1:24" ht="16.5" thickBot="1" x14ac:dyDescent="0.3">
      <c r="A4" s="3"/>
      <c r="B4" s="3"/>
      <c r="C4" s="37" t="s">
        <v>10</v>
      </c>
      <c r="D4" s="38"/>
      <c r="E4" s="38"/>
      <c r="F4" s="38"/>
      <c r="G4" s="38"/>
      <c r="H4" s="38"/>
      <c r="I4" s="38"/>
      <c r="J4" s="38"/>
      <c r="K4" s="38"/>
      <c r="L4" s="38"/>
      <c r="M4" s="39"/>
      <c r="N4" s="3"/>
      <c r="O4" s="37" t="s">
        <v>9</v>
      </c>
      <c r="P4" s="38"/>
      <c r="Q4" s="51"/>
      <c r="R4" s="51"/>
      <c r="S4" s="51"/>
      <c r="T4" s="51"/>
      <c r="U4" s="52"/>
      <c r="V4" s="4"/>
      <c r="W4" s="4"/>
      <c r="X4" s="2"/>
    </row>
    <row r="5" spans="1:24" x14ac:dyDescent="0.25">
      <c r="A5" s="3"/>
      <c r="B5" s="3"/>
      <c r="C5" s="5" t="s">
        <v>32</v>
      </c>
      <c r="D5" s="5"/>
      <c r="E5" s="5"/>
      <c r="F5" s="5" t="s">
        <v>33</v>
      </c>
      <c r="G5" s="5"/>
      <c r="H5" s="5"/>
      <c r="I5" s="5" t="s">
        <v>0</v>
      </c>
      <c r="J5" s="5"/>
      <c r="K5" s="5"/>
      <c r="L5" s="5" t="s">
        <v>1</v>
      </c>
      <c r="M5" s="5"/>
      <c r="N5" s="3"/>
      <c r="O5" s="5" t="s">
        <v>34</v>
      </c>
      <c r="P5" s="5"/>
      <c r="Q5" s="5"/>
      <c r="R5" s="5"/>
      <c r="S5" s="5" t="s">
        <v>35</v>
      </c>
      <c r="T5" s="5"/>
      <c r="U5" s="5"/>
      <c r="V5" s="3"/>
      <c r="W5" s="3"/>
    </row>
    <row r="6" spans="1:24" x14ac:dyDescent="0.25">
      <c r="A6" s="3"/>
      <c r="B6" s="3"/>
      <c r="C6" s="6" t="s">
        <v>2</v>
      </c>
      <c r="D6" s="6" t="s">
        <v>3</v>
      </c>
      <c r="E6" s="7"/>
      <c r="F6" s="7" t="s">
        <v>2</v>
      </c>
      <c r="G6" s="7" t="s">
        <v>3</v>
      </c>
      <c r="H6" s="7"/>
      <c r="I6" s="7" t="s">
        <v>2</v>
      </c>
      <c r="J6" s="7" t="s">
        <v>3</v>
      </c>
      <c r="K6" s="7"/>
      <c r="L6" s="7" t="s">
        <v>2</v>
      </c>
      <c r="M6" s="7" t="s">
        <v>3</v>
      </c>
      <c r="N6" s="3"/>
      <c r="O6" s="7" t="s">
        <v>4</v>
      </c>
      <c r="P6" s="7" t="s">
        <v>5</v>
      </c>
      <c r="Q6" s="7" t="s">
        <v>6</v>
      </c>
      <c r="R6" s="7"/>
      <c r="S6" s="7" t="s">
        <v>4</v>
      </c>
      <c r="T6" s="7" t="s">
        <v>5</v>
      </c>
      <c r="U6" s="7" t="s">
        <v>6</v>
      </c>
      <c r="V6" s="3"/>
      <c r="W6" s="3"/>
    </row>
    <row r="7" spans="1:24" x14ac:dyDescent="0.25">
      <c r="A7" s="3"/>
      <c r="B7" s="3"/>
      <c r="C7" s="6">
        <v>273.14999999999998</v>
      </c>
      <c r="D7" s="6" cm="1">
        <f t="array" ref="D7">hydp(C7,33.5)</f>
        <v>2.9611369345166807</v>
      </c>
      <c r="E7" s="7"/>
      <c r="F7" s="7">
        <v>273.14999999999998</v>
      </c>
      <c r="G7" s="7" cm="1">
        <f t="array" ref="G7">hydp(F7,0)</f>
        <v>2.630544380440103</v>
      </c>
      <c r="H7" s="7"/>
      <c r="I7" s="7">
        <v>273.14999999999998</v>
      </c>
      <c r="J7" s="7" cm="1">
        <f t="array" ref="J7">hydp(I7,70)</f>
        <v>3.3886777841859717</v>
      </c>
      <c r="K7" s="7"/>
      <c r="L7" s="7">
        <v>273.14999999999998</v>
      </c>
      <c r="M7" s="7" cm="1">
        <f t="array" ref="M7">hydp(L7,50)</f>
        <v>3.144895176061937</v>
      </c>
      <c r="N7" s="3"/>
      <c r="O7" s="7">
        <v>271.14999999999998</v>
      </c>
      <c r="P7" s="7">
        <v>24.47</v>
      </c>
      <c r="Q7" s="7">
        <f>P7/10</f>
        <v>2.4470000000000001</v>
      </c>
      <c r="R7" s="7"/>
      <c r="S7" s="7">
        <v>273.14999999999998</v>
      </c>
      <c r="T7" s="7">
        <v>26.17</v>
      </c>
      <c r="U7" s="7">
        <f>T7/10</f>
        <v>2.617</v>
      </c>
      <c r="V7" s="3"/>
      <c r="W7" s="3"/>
    </row>
    <row r="8" spans="1:24" x14ac:dyDescent="0.25">
      <c r="A8" s="3"/>
      <c r="B8" s="3"/>
      <c r="C8" s="6">
        <v>273.34999999999997</v>
      </c>
      <c r="D8" s="6" cm="1">
        <f t="array" ref="D8">hydp(C8,33.5)</f>
        <v>3.0181658521108239</v>
      </c>
      <c r="E8" s="7"/>
      <c r="F8" s="7">
        <v>273.34999999999997</v>
      </c>
      <c r="G8" s="7" cm="1">
        <f t="array" ref="G8">hydp(F8,0)</f>
        <v>2.6798309521813182</v>
      </c>
      <c r="H8" s="7"/>
      <c r="I8" s="7">
        <v>273.34999999999997</v>
      </c>
      <c r="J8" s="7" cm="1">
        <f t="array" ref="J8">hydp(I8,70)</f>
        <v>3.4565708583113373</v>
      </c>
      <c r="K8" s="7"/>
      <c r="L8" s="7">
        <v>273.34999999999997</v>
      </c>
      <c r="M8" s="7" cm="1">
        <f t="array" ref="M8">hydp(L8,50)</f>
        <v>3.2064825928615406</v>
      </c>
      <c r="N8" s="3"/>
      <c r="O8" s="7">
        <v>272.14999999999998</v>
      </c>
      <c r="P8" s="7">
        <v>26.94</v>
      </c>
      <c r="Q8" s="7">
        <f t="shared" ref="Q8:Q35" si="0">P8/10</f>
        <v>2.694</v>
      </c>
      <c r="R8" s="7"/>
      <c r="S8" s="7">
        <v>274.14999999999998</v>
      </c>
      <c r="T8" s="7">
        <v>28.81</v>
      </c>
      <c r="U8" s="7">
        <f t="shared" ref="U8:U35" si="1">T8/10</f>
        <v>2.8809999999999998</v>
      </c>
      <c r="V8" s="3"/>
      <c r="W8" s="3"/>
    </row>
    <row r="9" spans="1:24" x14ac:dyDescent="0.25">
      <c r="A9" s="3"/>
      <c r="B9" s="3"/>
      <c r="C9" s="6">
        <v>273.54999999999995</v>
      </c>
      <c r="D9" s="6" cm="1">
        <f t="array" ref="D9">hydp(C9,33.5)</f>
        <v>3.0764297631270976</v>
      </c>
      <c r="E9" s="7"/>
      <c r="F9" s="7">
        <v>273.54999999999995</v>
      </c>
      <c r="G9" s="7" cm="1">
        <f t="array" ref="G9">hydp(F9,0)</f>
        <v>2.7302428788848707</v>
      </c>
      <c r="H9" s="7"/>
      <c r="I9" s="7">
        <v>273.54999999999995</v>
      </c>
      <c r="J9" s="7" cm="1">
        <f t="array" ref="J9">hydp(I9,70)</f>
        <v>3.5258136768769068</v>
      </c>
      <c r="K9" s="7"/>
      <c r="L9" s="7">
        <v>273.54999999999995</v>
      </c>
      <c r="M9" s="7" cm="1">
        <f t="array" ref="M9">hydp(L9,50)</f>
        <v>3.2693577020093074</v>
      </c>
      <c r="N9" s="3"/>
      <c r="O9" s="7">
        <v>273.14999999999998</v>
      </c>
      <c r="P9" s="7">
        <v>29.68</v>
      </c>
      <c r="Q9" s="7">
        <f t="shared" si="0"/>
        <v>2.968</v>
      </c>
      <c r="R9" s="7"/>
      <c r="S9" s="7">
        <v>275.14999999999998</v>
      </c>
      <c r="T9" s="7">
        <v>31.73</v>
      </c>
      <c r="U9" s="7">
        <f t="shared" si="1"/>
        <v>3.173</v>
      </c>
      <c r="V9" s="3"/>
      <c r="W9" s="3"/>
    </row>
    <row r="10" spans="1:24" x14ac:dyDescent="0.25">
      <c r="A10" s="3"/>
      <c r="B10" s="3"/>
      <c r="C10" s="6">
        <v>273.75</v>
      </c>
      <c r="D10" s="6" cm="1">
        <f t="array" ref="D10">hydp(C10,33.5)</f>
        <v>3.1359652436479313</v>
      </c>
      <c r="E10" s="7"/>
      <c r="F10" s="7">
        <v>273.75</v>
      </c>
      <c r="G10" s="7" cm="1">
        <f t="array" ref="G10">hydp(F10,0)</f>
        <v>2.781808119106417</v>
      </c>
      <c r="H10" s="7"/>
      <c r="I10" s="7">
        <v>273.75</v>
      </c>
      <c r="J10" s="7" cm="1">
        <f t="array" ref="J10">hydp(I10,70)</f>
        <v>3.596457533544601</v>
      </c>
      <c r="K10" s="7"/>
      <c r="L10" s="7">
        <v>273.75</v>
      </c>
      <c r="M10" s="7" cm="1">
        <f t="array" ref="M10">hydp(L10,50)</f>
        <v>3.3335629595756604</v>
      </c>
      <c r="N10" s="3"/>
      <c r="O10" s="7">
        <v>274.14999999999998</v>
      </c>
      <c r="P10" s="7">
        <v>32.700000000000003</v>
      </c>
      <c r="Q10" s="7">
        <f t="shared" si="0"/>
        <v>3.2700000000000005</v>
      </c>
      <c r="R10" s="7"/>
      <c r="S10" s="7">
        <v>276.14999999999998</v>
      </c>
      <c r="T10" s="7">
        <v>34.97</v>
      </c>
      <c r="U10" s="7">
        <f t="shared" si="1"/>
        <v>3.4969999999999999</v>
      </c>
      <c r="V10" s="3"/>
      <c r="W10" s="3"/>
    </row>
    <row r="11" spans="1:24" x14ac:dyDescent="0.25">
      <c r="A11" s="3"/>
      <c r="B11" s="3"/>
      <c r="C11" s="6">
        <v>273.95</v>
      </c>
      <c r="D11" s="6" cm="1">
        <f t="array" ref="D11">hydp(C11,33.5)</f>
        <v>3.1968099619626242</v>
      </c>
      <c r="E11" s="7"/>
      <c r="F11" s="7">
        <v>273.95</v>
      </c>
      <c r="G11" s="7" cm="1">
        <f t="array" ref="G11">hydp(F11,0)</f>
        <v>2.8345553774266743</v>
      </c>
      <c r="H11" s="7"/>
      <c r="I11" s="7">
        <v>273.95</v>
      </c>
      <c r="J11" s="7" cm="1">
        <f t="array" ref="J11">hydp(I11,70)</f>
        <v>3.6685554893121908</v>
      </c>
      <c r="K11" s="7"/>
      <c r="L11" s="7">
        <v>273.95</v>
      </c>
      <c r="M11" s="7" cm="1">
        <f t="array" ref="M11">hydp(L11,50)</f>
        <v>3.3991421705315426</v>
      </c>
      <c r="N11" s="3"/>
      <c r="O11" s="7">
        <v>275.14999999999998</v>
      </c>
      <c r="P11" s="7">
        <v>36.07</v>
      </c>
      <c r="Q11" s="7">
        <f t="shared" si="0"/>
        <v>3.6070000000000002</v>
      </c>
      <c r="R11" s="7"/>
      <c r="S11" s="7">
        <v>277.14999999999998</v>
      </c>
      <c r="T11" s="7">
        <v>38.56</v>
      </c>
      <c r="U11" s="7">
        <f t="shared" si="1"/>
        <v>3.8560000000000003</v>
      </c>
      <c r="V11" s="3"/>
      <c r="W11" s="3"/>
    </row>
    <row r="12" spans="1:24" x14ac:dyDescent="0.25">
      <c r="A12" s="3"/>
      <c r="B12" s="3"/>
      <c r="C12" s="6">
        <v>274.14999999999998</v>
      </c>
      <c r="D12" s="6" cm="1">
        <f t="array" ref="D12">hydp(C12,33.5)</f>
        <v>3.2590027091056277</v>
      </c>
      <c r="E12" s="7"/>
      <c r="F12" s="7">
        <v>274.14999999999998</v>
      </c>
      <c r="G12" s="7" cm="1">
        <f t="array" ref="G12">hydp(F12,0)</f>
        <v>2.8885141253808015</v>
      </c>
      <c r="H12" s="7"/>
      <c r="I12" s="7">
        <v>274.14999999999998</v>
      </c>
      <c r="J12" s="7" cm="1">
        <f t="array" ref="J12">hydp(I12,70)</f>
        <v>3.7421624123656807</v>
      </c>
      <c r="K12" s="7"/>
      <c r="L12" s="7">
        <v>274.14999999999998</v>
      </c>
      <c r="M12" s="7" cm="1">
        <f t="array" ref="M12">hydp(L12,50)</f>
        <v>3.4661405239988232</v>
      </c>
      <c r="N12" s="3"/>
      <c r="O12" s="7">
        <v>276.14999999999998</v>
      </c>
      <c r="P12" s="7">
        <v>39.799999999999997</v>
      </c>
      <c r="Q12" s="7">
        <f t="shared" si="0"/>
        <v>3.9799999999999995</v>
      </c>
      <c r="R12" s="7"/>
      <c r="S12" s="7">
        <v>278.14999999999998</v>
      </c>
      <c r="T12" s="7">
        <v>42.55</v>
      </c>
      <c r="U12" s="7">
        <f t="shared" si="1"/>
        <v>4.2549999999999999</v>
      </c>
      <c r="V12" s="3"/>
      <c r="W12" s="3"/>
    </row>
    <row r="13" spans="1:24" x14ac:dyDescent="0.25">
      <c r="A13" s="3"/>
      <c r="B13" s="3"/>
      <c r="C13" s="6">
        <v>274.34999999999997</v>
      </c>
      <c r="D13" s="6" cm="1">
        <f t="array" ref="D13">hydp(C13,33.5)</f>
        <v>3.32258343114021</v>
      </c>
      <c r="E13" s="7"/>
      <c r="F13" s="7">
        <v>274.34999999999997</v>
      </c>
      <c r="G13" s="7" cm="1">
        <f t="array" ref="G13">hydp(F13,0)</f>
        <v>2.9437146229988311</v>
      </c>
      <c r="H13" s="7"/>
      <c r="I13" s="7">
        <v>274.34999999999997</v>
      </c>
      <c r="J13" s="7" cm="1">
        <f t="array" ref="J13">hydp(I13,70)</f>
        <v>3.8173350224800702</v>
      </c>
      <c r="K13" s="7"/>
      <c r="L13" s="7">
        <v>274.34999999999997</v>
      </c>
      <c r="M13" s="7" cm="1">
        <f t="array" ref="M13">hydp(L13,50)</f>
        <v>3.5346046312429573</v>
      </c>
      <c r="N13" s="3"/>
      <c r="O13" s="7">
        <v>277.14999999999998</v>
      </c>
      <c r="P13" s="7">
        <v>43.96</v>
      </c>
      <c r="Q13" s="7">
        <f t="shared" si="0"/>
        <v>4.3959999999999999</v>
      </c>
      <c r="R13" s="7"/>
      <c r="S13" s="7">
        <v>279.14999999999998</v>
      </c>
      <c r="T13" s="7">
        <v>47</v>
      </c>
      <c r="U13" s="7">
        <f t="shared" si="1"/>
        <v>4.7</v>
      </c>
      <c r="V13" s="3"/>
      <c r="W13" s="3"/>
    </row>
    <row r="14" spans="1:24" x14ac:dyDescent="0.25">
      <c r="A14" s="3"/>
      <c r="B14" s="3"/>
      <c r="C14" s="6">
        <v>274.54999999999995</v>
      </c>
      <c r="D14" s="6" cm="1">
        <f t="array" ref="D14">hydp(C14,33.5)</f>
        <v>3.3875932634881503</v>
      </c>
      <c r="E14" s="7"/>
      <c r="F14" s="7">
        <v>274.54999999999995</v>
      </c>
      <c r="G14" s="7" cm="1">
        <f t="array" ref="G14">hydp(F14,0)</f>
        <v>3.0001879409753323</v>
      </c>
      <c r="H14" s="7"/>
      <c r="I14" s="7">
        <v>274.54999999999995</v>
      </c>
      <c r="J14" s="7" cm="1">
        <f t="array" ref="J14">hydp(I14,70)</f>
        <v>3.8941319409282191</v>
      </c>
      <c r="K14" s="7"/>
      <c r="L14" s="7">
        <v>274.54999999999995</v>
      </c>
      <c r="M14" s="7" cm="1">
        <f t="array" ref="M14">hydp(L14,50)</f>
        <v>3.6045825669511569</v>
      </c>
      <c r="N14" s="3"/>
      <c r="O14" s="7">
        <v>278.14999999999998</v>
      </c>
      <c r="P14" s="7">
        <v>48.6</v>
      </c>
      <c r="Q14" s="7">
        <f t="shared" si="0"/>
        <v>4.8600000000000003</v>
      </c>
      <c r="R14" s="7"/>
      <c r="S14" s="7">
        <v>280.14999999999998</v>
      </c>
      <c r="T14" s="7">
        <v>51.97</v>
      </c>
      <c r="U14" s="7">
        <f t="shared" si="1"/>
        <v>5.1970000000000001</v>
      </c>
      <c r="V14" s="3"/>
      <c r="W14" s="3"/>
    </row>
    <row r="15" spans="1:24" x14ac:dyDescent="0.25">
      <c r="A15" s="3"/>
      <c r="B15" s="3"/>
      <c r="C15" s="6">
        <v>274.75</v>
      </c>
      <c r="D15" s="6" cm="1">
        <f t="array" ref="D15">hydp(C15,33.5)</f>
        <v>3.4540745623632336</v>
      </c>
      <c r="E15" s="7"/>
      <c r="F15" s="7">
        <v>274.75</v>
      </c>
      <c r="G15" s="7" cm="1">
        <f t="array" ref="G15">hydp(F15,0)</f>
        <v>3.0579659834979842</v>
      </c>
      <c r="H15" s="7"/>
      <c r="I15" s="7">
        <v>274.75</v>
      </c>
      <c r="J15" s="7" cm="1">
        <f t="array" ref="J15">hydp(I15,70)</f>
        <v>3.9726137295765591</v>
      </c>
      <c r="K15" s="7"/>
      <c r="L15" s="7">
        <v>274.75</v>
      </c>
      <c r="M15" s="7" cm="1">
        <f t="array" ref="M15">hydp(L15,50)</f>
        <v>3.6761239046106193</v>
      </c>
      <c r="N15" s="3"/>
      <c r="O15" s="7">
        <v>279.14999999999998</v>
      </c>
      <c r="P15" s="7">
        <v>53.8</v>
      </c>
      <c r="Q15" s="7">
        <f t="shared" si="0"/>
        <v>5.38</v>
      </c>
      <c r="R15" s="7"/>
      <c r="S15" s="7">
        <v>281.14999999999998</v>
      </c>
      <c r="T15" s="7">
        <v>57.54</v>
      </c>
      <c r="U15" s="7">
        <f t="shared" si="1"/>
        <v>5.7539999999999996</v>
      </c>
      <c r="V15" s="3"/>
      <c r="W15" s="3"/>
    </row>
    <row r="16" spans="1:24" x14ac:dyDescent="0.25">
      <c r="A16" s="3"/>
      <c r="B16" s="3"/>
      <c r="C16" s="6">
        <v>274.95</v>
      </c>
      <c r="D16" s="6" cm="1">
        <f t="array" ref="D16">hydp(C16,33.5)</f>
        <v>3.5220709419953478</v>
      </c>
      <c r="E16" s="7"/>
      <c r="F16" s="7">
        <v>274.95</v>
      </c>
      <c r="G16" s="7" cm="1">
        <f t="array" ref="G16">hydp(F16,0)</f>
        <v>3.1170815117362234</v>
      </c>
      <c r="H16" s="7"/>
      <c r="I16" s="7">
        <v>274.95</v>
      </c>
      <c r="J16" s="7" cm="1">
        <f t="array" ref="J16">hydp(I16,70)</f>
        <v>4.0528429477139447</v>
      </c>
      <c r="K16" s="7"/>
      <c r="L16" s="7">
        <v>274.95</v>
      </c>
      <c r="M16" s="7" cm="1">
        <f t="array" ref="M16">hydp(L16,50)</f>
        <v>3.7492797620782254</v>
      </c>
      <c r="N16" s="3"/>
      <c r="O16" s="7">
        <v>280.14999999999998</v>
      </c>
      <c r="P16" s="7">
        <v>59.64</v>
      </c>
      <c r="Q16" s="7">
        <f t="shared" si="0"/>
        <v>5.9640000000000004</v>
      </c>
      <c r="R16" s="7"/>
      <c r="S16" s="7">
        <v>282.14999999999998</v>
      </c>
      <c r="T16" s="7">
        <v>63.8</v>
      </c>
      <c r="U16" s="7">
        <f t="shared" si="1"/>
        <v>6.38</v>
      </c>
      <c r="V16" s="3"/>
      <c r="W16" s="3"/>
    </row>
    <row r="17" spans="1:23" x14ac:dyDescent="0.25">
      <c r="A17" s="3"/>
      <c r="B17" s="3"/>
      <c r="C17" s="6">
        <v>275.14999999999998</v>
      </c>
      <c r="D17" s="6" cm="1">
        <f t="array" ref="D17">hydp(C17,33.5)</f>
        <v>3.5916273101148204</v>
      </c>
      <c r="E17" s="7"/>
      <c r="F17" s="7">
        <v>275.14999999999998</v>
      </c>
      <c r="G17" s="7" cm="1">
        <f t="array" ref="G17">hydp(F17,0)</f>
        <v>3.1775681680266712</v>
      </c>
      <c r="H17" s="7"/>
      <c r="I17" s="7">
        <v>275.14999999999998</v>
      </c>
      <c r="J17" s="7" cm="1">
        <f t="array" ref="J17">hydp(I17,70)</f>
        <v>4.1348842017752876</v>
      </c>
      <c r="K17" s="7"/>
      <c r="L17" s="7">
        <v>275.14999999999998</v>
      </c>
      <c r="M17" s="7" cm="1">
        <f t="array" ref="M17">hydp(L17,50)</f>
        <v>3.8241028433566702</v>
      </c>
      <c r="N17" s="3"/>
      <c r="O17" s="7">
        <v>281.14999999999998</v>
      </c>
      <c r="P17" s="7">
        <v>66.22</v>
      </c>
      <c r="Q17" s="7">
        <f t="shared" si="0"/>
        <v>6.6219999999999999</v>
      </c>
      <c r="R17" s="7"/>
      <c r="S17" s="7">
        <v>283.14999999999998</v>
      </c>
      <c r="T17" s="7">
        <v>70.87</v>
      </c>
      <c r="U17" s="7">
        <f t="shared" si="1"/>
        <v>7.0870000000000006</v>
      </c>
      <c r="V17" s="3"/>
      <c r="W17" s="3"/>
    </row>
    <row r="18" spans="1:23" x14ac:dyDescent="0.25">
      <c r="A18" s="3"/>
      <c r="B18" s="3"/>
      <c r="C18" s="6">
        <v>275.34999999999997</v>
      </c>
      <c r="D18" s="6" cm="1">
        <f t="array" ref="D18">hydp(C18,33.5)</f>
        <v>3.6627899057202065</v>
      </c>
      <c r="E18" s="7"/>
      <c r="F18" s="7">
        <v>275.34999999999997</v>
      </c>
      <c r="G18" s="7" cm="1">
        <f t="array" ref="G18">hydp(F18,0)</f>
        <v>3.2394605007674957</v>
      </c>
      <c r="H18" s="7"/>
      <c r="I18" s="7">
        <v>275.34999999999997</v>
      </c>
      <c r="J18" s="7" cm="1">
        <f t="array" ref="J18">hydp(I18,70)</f>
        <v>4.2188042011500757</v>
      </c>
      <c r="K18" s="7"/>
      <c r="L18" s="7">
        <v>275.34999999999997</v>
      </c>
      <c r="M18" s="7" cm="1">
        <f t="array" ref="M18">hydp(L18,50)</f>
        <v>3.9006474840182377</v>
      </c>
      <c r="N18" s="3"/>
      <c r="O18" s="7">
        <v>282.14999999999998</v>
      </c>
      <c r="P18" s="7">
        <v>73.67</v>
      </c>
      <c r="Q18" s="7">
        <f t="shared" si="0"/>
        <v>7.367</v>
      </c>
      <c r="R18" s="7"/>
      <c r="S18" s="7">
        <v>284.14999999999998</v>
      </c>
      <c r="T18" s="7">
        <v>78.88</v>
      </c>
      <c r="U18" s="7">
        <f t="shared" si="1"/>
        <v>7.8879999999999999</v>
      </c>
      <c r="V18" s="3"/>
      <c r="W18" s="3"/>
    </row>
    <row r="19" spans="1:23" x14ac:dyDescent="0.25">
      <c r="A19" s="3"/>
      <c r="B19" s="3"/>
      <c r="C19" s="6">
        <v>275.54999999999995</v>
      </c>
      <c r="D19" s="6" cm="1">
        <f t="array" ref="D19">hydp(C19,33.5)</f>
        <v>3.735606336228813</v>
      </c>
      <c r="E19" s="7"/>
      <c r="F19" s="7">
        <v>275.54999999999995</v>
      </c>
      <c r="G19" s="7" cm="1">
        <f t="array" ref="G19">hydp(F19,0)</f>
        <v>3.3027939900498109</v>
      </c>
      <c r="H19" s="7"/>
      <c r="I19" s="7">
        <v>275.54999999999995</v>
      </c>
      <c r="J19" s="7" cm="1">
        <f t="array" ref="J19">hydp(I19,70)</f>
        <v>4.3046718104476964</v>
      </c>
      <c r="K19" s="7"/>
      <c r="L19" s="7">
        <v>275.54999999999995</v>
      </c>
      <c r="M19" s="7" cm="1">
        <f t="array" ref="M19">hydp(L19,50)</f>
        <v>3.9789696948697566</v>
      </c>
      <c r="N19" s="3"/>
      <c r="O19" s="7">
        <v>283.14999999999998</v>
      </c>
      <c r="P19" s="7">
        <v>82.15</v>
      </c>
      <c r="Q19" s="7">
        <f t="shared" si="0"/>
        <v>8.2149999999999999</v>
      </c>
      <c r="R19" s="7"/>
      <c r="S19" s="7">
        <v>285.14999999999998</v>
      </c>
      <c r="T19" s="7">
        <v>88.01</v>
      </c>
      <c r="U19" s="7">
        <f t="shared" si="1"/>
        <v>8.8010000000000002</v>
      </c>
      <c r="V19" s="3"/>
      <c r="W19" s="3"/>
    </row>
    <row r="20" spans="1:23" x14ac:dyDescent="0.25">
      <c r="A20" s="3"/>
      <c r="B20" s="3"/>
      <c r="C20" s="6">
        <v>275.75</v>
      </c>
      <c r="D20" s="6" cm="1">
        <f t="array" ref="D20">hydp(C20,33.5)</f>
        <v>3.8101256170680045</v>
      </c>
      <c r="E20" s="7"/>
      <c r="F20" s="7">
        <v>275.75</v>
      </c>
      <c r="G20" s="7" cm="1">
        <f t="array" ref="G20">hydp(F20,0)</f>
        <v>3.3676050740419057</v>
      </c>
      <c r="H20" s="7"/>
      <c r="I20" s="7">
        <v>275.75</v>
      </c>
      <c r="J20" s="7" cm="1">
        <f t="array" ref="J20">hydp(I20,70)</f>
        <v>4.3925581082375444</v>
      </c>
      <c r="K20" s="7"/>
      <c r="L20" s="7">
        <v>275.75</v>
      </c>
      <c r="M20" s="7" cm="1">
        <f t="array" ref="M20">hydp(L20,50)</f>
        <v>4.0591272095106312</v>
      </c>
      <c r="N20" s="3"/>
      <c r="O20" s="7">
        <v>284.14999999999998</v>
      </c>
      <c r="P20" s="7">
        <v>91.84</v>
      </c>
      <c r="Q20" s="7">
        <f t="shared" si="0"/>
        <v>9.1840000000000011</v>
      </c>
      <c r="R20" s="7"/>
      <c r="S20" s="7">
        <v>286.14999999999998</v>
      </c>
      <c r="T20" s="7">
        <v>98.48</v>
      </c>
      <c r="U20" s="7">
        <f t="shared" si="1"/>
        <v>9.8480000000000008</v>
      </c>
      <c r="V20" s="3"/>
      <c r="W20" s="3"/>
    </row>
    <row r="21" spans="1:23" x14ac:dyDescent="0.25">
      <c r="A21" s="3"/>
      <c r="B21" s="3"/>
      <c r="C21" s="6">
        <v>275.95</v>
      </c>
      <c r="D21" s="6" cm="1">
        <f t="array" ref="D21">hydp(C21,33.5)</f>
        <v>3.8863982138627766</v>
      </c>
      <c r="E21" s="7"/>
      <c r="F21" s="7">
        <v>275.95</v>
      </c>
      <c r="G21" s="7" cm="1">
        <f t="array" ref="G21">hydp(F21,0)</f>
        <v>3.4339311761489606</v>
      </c>
      <c r="H21" s="7"/>
      <c r="I21" s="7">
        <v>275.95</v>
      </c>
      <c r="J21" s="7" cm="1">
        <f t="array" ref="J21">hydp(I21,70)</f>
        <v>4.4825364527257863</v>
      </c>
      <c r="K21" s="7"/>
      <c r="L21" s="7">
        <v>275.95</v>
      </c>
      <c r="M21" s="7" cm="1">
        <f t="array" ref="M21">hydp(L21,50)</f>
        <v>4.1411795360524719</v>
      </c>
      <c r="N21" s="3"/>
      <c r="O21" s="7">
        <v>285.14999999999998</v>
      </c>
      <c r="P21" s="7">
        <v>102.99</v>
      </c>
      <c r="Q21" s="7">
        <f t="shared" si="0"/>
        <v>10.298999999999999</v>
      </c>
      <c r="R21" s="7"/>
      <c r="S21" s="7">
        <v>287.14999999999998</v>
      </c>
      <c r="T21" s="7">
        <v>110.53</v>
      </c>
      <c r="U21" s="7">
        <f t="shared" si="1"/>
        <v>11.053000000000001</v>
      </c>
      <c r="V21" s="3"/>
      <c r="W21" s="3"/>
    </row>
    <row r="22" spans="1:23" x14ac:dyDescent="0.25">
      <c r="A22" s="3"/>
      <c r="B22" s="3"/>
      <c r="C22" s="6">
        <v>276.14999999999998</v>
      </c>
      <c r="D22" s="6" cm="1">
        <f t="array" ref="D22">hydp(C22,33.5)</f>
        <v>3.9644760814464615</v>
      </c>
      <c r="E22" s="7"/>
      <c r="F22" s="7">
        <v>276.14999999999998</v>
      </c>
      <c r="G22" s="7" cm="1">
        <f t="array" ref="G22">hydp(F22,0)</f>
        <v>3.5018107329845982</v>
      </c>
      <c r="H22" s="7"/>
      <c r="I22" s="7">
        <v>276.14999999999998</v>
      </c>
      <c r="J22" s="7" cm="1">
        <f t="array" ref="J22">hydp(I22,70)</f>
        <v>4.5746825352160183</v>
      </c>
      <c r="K22" s="7"/>
      <c r="L22" s="7">
        <v>276.14999999999998</v>
      </c>
      <c r="M22" s="7" cm="1">
        <f t="array" ref="M22">hydp(L22,50)</f>
        <v>4.2251880022495438</v>
      </c>
      <c r="N22" s="3"/>
      <c r="O22" s="7">
        <v>286.14999999999998</v>
      </c>
      <c r="P22" s="7">
        <v>115.89</v>
      </c>
      <c r="Q22" s="7">
        <f t="shared" si="0"/>
        <v>11.589</v>
      </c>
      <c r="R22" s="7"/>
      <c r="S22" s="7">
        <v>288.14999999999998</v>
      </c>
      <c r="T22" s="7">
        <v>124.48</v>
      </c>
      <c r="U22" s="7">
        <f t="shared" si="1"/>
        <v>12.448</v>
      </c>
      <c r="V22" s="3"/>
      <c r="W22" s="3"/>
    </row>
    <row r="23" spans="1:23" x14ac:dyDescent="0.25">
      <c r="A23" s="3"/>
      <c r="B23" s="3"/>
      <c r="C23" s="6">
        <v>276.34999999999997</v>
      </c>
      <c r="D23" s="6" cm="1">
        <f t="array" ref="D23">hydp(C23,33.5)</f>
        <v>4.0444127094828595</v>
      </c>
      <c r="E23" s="7"/>
      <c r="F23" s="7">
        <v>276.34999999999997</v>
      </c>
      <c r="G23" s="7" cm="1">
        <f t="array" ref="G23">hydp(F23,0)</f>
        <v>3.5712832231576326</v>
      </c>
      <c r="H23" s="7"/>
      <c r="I23" s="7">
        <v>276.34999999999997</v>
      </c>
      <c r="J23" s="7" cm="1">
        <f t="array" ref="J23">hydp(I23,70)</f>
        <v>4.6690744536132609</v>
      </c>
      <c r="K23" s="7"/>
      <c r="L23" s="7">
        <v>276.34999999999997</v>
      </c>
      <c r="M23" s="7" cm="1">
        <f t="array" ref="M23">hydp(L23,50)</f>
        <v>4.3112158121939341</v>
      </c>
      <c r="N23" s="3"/>
      <c r="O23" s="7">
        <v>287.14999999999998</v>
      </c>
      <c r="P23" s="7">
        <v>130.88999999999999</v>
      </c>
      <c r="Q23" s="7">
        <f t="shared" si="0"/>
        <v>13.088999999999999</v>
      </c>
      <c r="R23" s="7"/>
      <c r="S23" s="7">
        <v>289.14999999999998</v>
      </c>
      <c r="T23" s="7">
        <v>140.71</v>
      </c>
      <c r="U23" s="7">
        <f t="shared" si="1"/>
        <v>14.071000000000002</v>
      </c>
      <c r="V23" s="3"/>
      <c r="W23" s="3"/>
    </row>
    <row r="24" spans="1:23" x14ac:dyDescent="0.25">
      <c r="A24" s="3"/>
      <c r="B24" s="3"/>
      <c r="C24" s="6">
        <v>276.54999999999995</v>
      </c>
      <c r="D24" s="6" cm="1">
        <f t="array" ref="D24">hydp(C24,33.5)</f>
        <v>4.1262631636367839</v>
      </c>
      <c r="E24" s="7"/>
      <c r="F24" s="7">
        <v>276.54999999999995</v>
      </c>
      <c r="G24" s="7" cm="1">
        <f t="array" ref="G24">hydp(F24,0)</f>
        <v>3.642389196923113</v>
      </c>
      <c r="H24" s="7"/>
      <c r="I24" s="7">
        <v>276.54999999999995</v>
      </c>
      <c r="J24" s="7" cm="1">
        <f t="array" ref="J24">hydp(I24,70)</f>
        <v>4.7657927693314566</v>
      </c>
      <c r="K24" s="7"/>
      <c r="L24" s="7">
        <v>276.54999999999995</v>
      </c>
      <c r="M24" s="7" cm="1">
        <f t="array" ref="M24">hydp(L24,50)</f>
        <v>4.3993280939964254</v>
      </c>
      <c r="N24" s="3"/>
      <c r="O24" s="7">
        <v>288.14999999999998</v>
      </c>
      <c r="P24" s="7">
        <v>148.38999999999999</v>
      </c>
      <c r="Q24" s="7">
        <f t="shared" si="0"/>
        <v>14.838999999999999</v>
      </c>
      <c r="R24" s="7"/>
      <c r="S24" s="7">
        <v>290.14999999999998</v>
      </c>
      <c r="T24" s="7">
        <v>159.63</v>
      </c>
      <c r="U24" s="7">
        <f t="shared" si="1"/>
        <v>15.962999999999999</v>
      </c>
      <c r="V24" s="3"/>
      <c r="W24" s="3"/>
    </row>
    <row r="25" spans="1:23" x14ac:dyDescent="0.25">
      <c r="A25" s="3"/>
      <c r="B25" s="3"/>
      <c r="C25" s="6">
        <v>276.75</v>
      </c>
      <c r="D25" s="6" cm="1">
        <f t="array" ref="D25">hydp(C25,33.5)</f>
        <v>4.2100841333278476</v>
      </c>
      <c r="E25" s="7"/>
      <c r="F25" s="7">
        <v>276.75</v>
      </c>
      <c r="G25" s="7" cm="1">
        <f t="array" ref="G25">hydp(F25,0)</f>
        <v>3.7151703067002426</v>
      </c>
      <c r="H25" s="7"/>
      <c r="I25" s="7">
        <v>276.75</v>
      </c>
      <c r="J25" s="7" cm="1">
        <f t="array" ref="J25">hydp(I25,70)</f>
        <v>4.8649205839924079</v>
      </c>
      <c r="K25" s="7"/>
      <c r="L25" s="7">
        <v>276.75</v>
      </c>
      <c r="M25" s="7" cm="1">
        <f t="array" ref="M25">hydp(L25,50)</f>
        <v>4.4895919589238451</v>
      </c>
      <c r="N25" s="3"/>
      <c r="O25" s="7">
        <v>289.14999999999998</v>
      </c>
      <c r="P25" s="7">
        <v>168.84</v>
      </c>
      <c r="Q25" s="7">
        <f t="shared" si="0"/>
        <v>16.884</v>
      </c>
      <c r="R25" s="7"/>
      <c r="S25" s="7">
        <v>291.14999999999998</v>
      </c>
      <c r="T25" s="7">
        <v>181.69</v>
      </c>
      <c r="U25" s="7">
        <f t="shared" si="1"/>
        <v>18.169</v>
      </c>
      <c r="V25" s="3"/>
      <c r="W25" s="3"/>
    </row>
    <row r="26" spans="1:23" x14ac:dyDescent="0.25">
      <c r="A26" s="3"/>
      <c r="B26" s="3"/>
      <c r="C26" s="6">
        <v>276.95</v>
      </c>
      <c r="D26" s="6" cm="1">
        <f t="array" ref="D26">hydp(C26,33.5)</f>
        <v>4.2959339759146742</v>
      </c>
      <c r="E26" s="7"/>
      <c r="F26" s="7">
        <v>276.95</v>
      </c>
      <c r="G26" s="7" cm="1">
        <f t="array" ref="G26">hydp(F26,0)</f>
        <v>3.7896693385055422</v>
      </c>
      <c r="H26" s="7"/>
      <c r="I26" s="7">
        <v>276.95</v>
      </c>
      <c r="J26" s="7" cm="1">
        <f t="array" ref="J26">hydp(I26,70)</f>
        <v>4.9665436022485379</v>
      </c>
      <c r="K26" s="7"/>
      <c r="L26" s="7">
        <v>276.95</v>
      </c>
      <c r="M26" s="7" cm="1">
        <f t="array" ref="M26">hydp(L26,50)</f>
        <v>4.5820765530958525</v>
      </c>
      <c r="N26" s="3"/>
      <c r="O26" s="7">
        <v>290.14999999999998</v>
      </c>
      <c r="P26" s="7">
        <v>192.71</v>
      </c>
      <c r="Q26" s="7">
        <f t="shared" si="0"/>
        <v>19.271000000000001</v>
      </c>
      <c r="R26" s="7"/>
      <c r="S26" s="7">
        <v>292.14999999999998</v>
      </c>
      <c r="T26" s="7">
        <v>207.33</v>
      </c>
      <c r="U26" s="7">
        <f t="shared" si="1"/>
        <v>20.733000000000001</v>
      </c>
      <c r="V26" s="3"/>
      <c r="W26" s="3"/>
    </row>
    <row r="27" spans="1:23" x14ac:dyDescent="0.25">
      <c r="A27" s="3"/>
      <c r="B27" s="3"/>
      <c r="C27" s="6">
        <v>277.14999999999998</v>
      </c>
      <c r="D27" s="6" cm="1">
        <f t="array" ref="D27">hydp(C27,33.5)</f>
        <v>4.3838727662310619</v>
      </c>
      <c r="E27" s="7"/>
      <c r="F27" s="7">
        <v>277.14999999999998</v>
      </c>
      <c r="G27" s="7" cm="1">
        <f t="array" ref="G27">hydp(F27,0)</f>
        <v>3.8659302443104022</v>
      </c>
      <c r="H27" s="7"/>
      <c r="I27" s="7">
        <v>277.14999999999998</v>
      </c>
      <c r="J27" s="7" cm="1">
        <f t="array" ref="J27">hydp(I27,70)</f>
        <v>5.0707502101467963</v>
      </c>
      <c r="K27" s="7"/>
      <c r="L27" s="7">
        <v>277.14999999999998</v>
      </c>
      <c r="M27" s="7" cm="1">
        <f t="array" ref="M27">hydp(L27,50)</f>
        <v>4.6768531182886814</v>
      </c>
      <c r="N27" s="3"/>
      <c r="O27" s="7">
        <v>291.14999999999998</v>
      </c>
      <c r="P27" s="7">
        <v>220.44</v>
      </c>
      <c r="Q27" s="7">
        <f t="shared" si="0"/>
        <v>22.044</v>
      </c>
      <c r="R27" s="7"/>
      <c r="S27" s="7">
        <v>293.14999999999998</v>
      </c>
      <c r="T27" s="7">
        <v>236.97</v>
      </c>
      <c r="U27" s="7">
        <f t="shared" si="1"/>
        <v>23.696999999999999</v>
      </c>
      <c r="V27" s="3"/>
      <c r="W27" s="3"/>
    </row>
    <row r="28" spans="1:23" x14ac:dyDescent="0.25">
      <c r="A28" s="3"/>
      <c r="B28" s="3"/>
      <c r="C28" s="6">
        <v>277.34999999999997</v>
      </c>
      <c r="D28" s="6" cm="1">
        <f t="array" ref="D28">hydp(C28,33.5)</f>
        <v>4.4739623444072487</v>
      </c>
      <c r="E28" s="7"/>
      <c r="F28" s="7">
        <v>277.34999999999997</v>
      </c>
      <c r="G28" s="7" cm="1">
        <f t="array" ref="G28">hydp(F28,0)</f>
        <v>3.9439981753662576</v>
      </c>
      <c r="H28" s="7"/>
      <c r="I28" s="7">
        <v>277.34999999999997</v>
      </c>
      <c r="J28" s="7" cm="1">
        <f t="array" ref="J28">hydp(I28,70)</f>
        <v>5.1776315455468174</v>
      </c>
      <c r="K28" s="7"/>
      <c r="L28" s="7">
        <v>277.34999999999997</v>
      </c>
      <c r="M28" s="7" cm="1">
        <f t="array" ref="M28">hydp(L28,50)</f>
        <v>4.7739950486769596</v>
      </c>
      <c r="N28" s="3"/>
      <c r="O28" s="7">
        <v>292.14999999999998</v>
      </c>
      <c r="P28" s="7">
        <v>252.43</v>
      </c>
      <c r="Q28" s="7">
        <f t="shared" si="0"/>
        <v>25.243000000000002</v>
      </c>
      <c r="R28" s="7"/>
      <c r="S28" s="7">
        <v>294.14999999999998</v>
      </c>
      <c r="T28" s="7">
        <v>270.97000000000003</v>
      </c>
      <c r="U28" s="7">
        <f t="shared" si="1"/>
        <v>27.097000000000001</v>
      </c>
      <c r="V28" s="3"/>
      <c r="W28" s="3"/>
    </row>
    <row r="29" spans="1:23" x14ac:dyDescent="0.25">
      <c r="A29" s="3"/>
      <c r="B29" s="3"/>
      <c r="C29" s="6">
        <v>277.54999999999995</v>
      </c>
      <c r="D29" s="6" cm="1">
        <f t="array" ref="D29">hydp(C29,33.5)</f>
        <v>4.5662663657654727</v>
      </c>
      <c r="E29" s="7"/>
      <c r="F29" s="7">
        <v>277.54999999999995</v>
      </c>
      <c r="G29" s="7" cm="1">
        <f t="array" ref="G29">hydp(F29,0)</f>
        <v>4.023919516519177</v>
      </c>
      <c r="H29" s="7"/>
      <c r="I29" s="7">
        <v>277.54999999999995</v>
      </c>
      <c r="J29" s="7" cm="1">
        <f t="array" ref="J29">hydp(I29,70)</f>
        <v>5.2872815730147487</v>
      </c>
      <c r="K29" s="7"/>
      <c r="L29" s="7">
        <v>277.54999999999995</v>
      </c>
      <c r="M29" s="7" cm="1">
        <f t="array" ref="M29">hydp(L29,50)</f>
        <v>4.873577950517844</v>
      </c>
      <c r="N29" s="3"/>
      <c r="O29" s="7">
        <v>293.14999999999998</v>
      </c>
      <c r="P29" s="7">
        <v>288.99</v>
      </c>
      <c r="Q29" s="7">
        <f t="shared" si="0"/>
        <v>28.899000000000001</v>
      </c>
      <c r="R29" s="7"/>
      <c r="S29" s="7">
        <v>295.14999999999998</v>
      </c>
      <c r="T29" s="7">
        <v>309.57</v>
      </c>
      <c r="U29" s="7">
        <f t="shared" si="1"/>
        <v>30.957000000000001</v>
      </c>
      <c r="V29" s="3"/>
      <c r="W29" s="3"/>
    </row>
    <row r="30" spans="1:23" x14ac:dyDescent="0.25">
      <c r="A30" s="3"/>
      <c r="B30" s="3"/>
      <c r="C30" s="6">
        <v>277.75</v>
      </c>
      <c r="D30" s="6" cm="1">
        <f t="array" ref="D30">hydp(C30,33.5)</f>
        <v>4.6608503524055696</v>
      </c>
      <c r="E30" s="7"/>
      <c r="F30" s="7">
        <v>277.75</v>
      </c>
      <c r="G30" s="7" cm="1">
        <f t="array" ref="G30">hydp(F30,0)</f>
        <v>4.1057419215450652</v>
      </c>
      <c r="H30" s="7"/>
      <c r="I30" s="7">
        <v>277.75</v>
      </c>
      <c r="J30" s="7" cm="1">
        <f t="array" ref="J30">hydp(I30,70)</f>
        <v>5.3997971618150604</v>
      </c>
      <c r="K30" s="7"/>
      <c r="L30" s="7">
        <v>277.75</v>
      </c>
      <c r="M30" s="7" cm="1">
        <f t="array" ref="M30">hydp(L30,50)</f>
        <v>4.975679704027649</v>
      </c>
      <c r="N30" s="3"/>
      <c r="O30" s="7">
        <v>294.14999999999998</v>
      </c>
      <c r="P30" s="7">
        <v>330.36</v>
      </c>
      <c r="Q30" s="7">
        <f t="shared" si="0"/>
        <v>33.036000000000001</v>
      </c>
      <c r="R30" s="7"/>
      <c r="S30" s="7">
        <v>296.14999999999998</v>
      </c>
      <c r="T30" s="7">
        <v>353</v>
      </c>
      <c r="U30" s="7">
        <f t="shared" si="1"/>
        <v>35.299999999999997</v>
      </c>
      <c r="V30" s="3"/>
      <c r="W30" s="3"/>
    </row>
    <row r="31" spans="1:23" x14ac:dyDescent="0.25">
      <c r="A31" s="3"/>
      <c r="B31" s="3"/>
      <c r="C31" s="6">
        <v>277.95</v>
      </c>
      <c r="D31" s="6" cm="1">
        <f t="array" ref="D31">hydp(C31,33.5)</f>
        <v>4.7577817474118405</v>
      </c>
      <c r="E31" s="7"/>
      <c r="F31" s="7">
        <v>277.95</v>
      </c>
      <c r="G31" s="7" cm="1">
        <f t="array" ref="G31">hydp(F31,0)</f>
        <v>4.1895143495348179</v>
      </c>
      <c r="H31" s="7"/>
      <c r="I31" s="7">
        <v>277.95</v>
      </c>
      <c r="J31" s="7" cm="1">
        <f t="array" ref="J31">hydp(I31,70)</f>
        <v>5.5152781699789575</v>
      </c>
      <c r="K31" s="7"/>
      <c r="L31" s="7">
        <v>277.95</v>
      </c>
      <c r="M31" s="7" cm="1">
        <f t="array" ref="M31">hydp(L31,50)</f>
        <v>5.080380529146475</v>
      </c>
      <c r="N31" s="3"/>
      <c r="O31" s="7">
        <v>295.14999999999998</v>
      </c>
      <c r="P31" s="7">
        <v>376.69</v>
      </c>
      <c r="Q31" s="7">
        <f t="shared" si="0"/>
        <v>37.668999999999997</v>
      </c>
      <c r="R31" s="7"/>
      <c r="S31" s="7">
        <v>297.14999999999998</v>
      </c>
      <c r="T31" s="7">
        <v>401.36</v>
      </c>
      <c r="U31" s="7">
        <f t="shared" si="1"/>
        <v>40.136000000000003</v>
      </c>
      <c r="V31" s="3"/>
      <c r="W31" s="3"/>
    </row>
    <row r="32" spans="1:23" x14ac:dyDescent="0.25">
      <c r="A32" s="3"/>
      <c r="B32" s="3"/>
      <c r="C32" s="6">
        <v>278.14999999999998</v>
      </c>
      <c r="D32" s="6" cm="1">
        <f t="array" ref="D32">hydp(C32,33.5)</f>
        <v>4.8571299659474843</v>
      </c>
      <c r="E32" s="7"/>
      <c r="F32" s="7">
        <v>278.14999999999998</v>
      </c>
      <c r="G32" s="7" cm="1">
        <f t="array" ref="G32">hydp(F32,0)</f>
        <v>4.2752871023743459</v>
      </c>
      <c r="H32" s="7"/>
      <c r="I32" s="7">
        <v>278.14999999999998</v>
      </c>
      <c r="J32" s="7" cm="1">
        <f t="array" ref="J32">hydp(I32,70)</f>
        <v>5.6338275152751258</v>
      </c>
      <c r="K32" s="7"/>
      <c r="L32" s="7">
        <v>278.14999999999998</v>
      </c>
      <c r="M32" s="7" cm="1">
        <f t="array" ref="M32">hydp(L32,50)</f>
        <v>5.1877630444743819</v>
      </c>
      <c r="N32" s="3"/>
      <c r="O32" s="7">
        <v>296.14999999999998</v>
      </c>
      <c r="P32" s="7">
        <v>428.05</v>
      </c>
      <c r="Q32" s="7">
        <f t="shared" si="0"/>
        <v>42.805</v>
      </c>
      <c r="R32" s="7"/>
      <c r="S32" s="7">
        <v>298.14999999999998</v>
      </c>
      <c r="T32" s="7">
        <v>454.72</v>
      </c>
      <c r="U32" s="7">
        <f t="shared" si="1"/>
        <v>45.472000000000001</v>
      </c>
      <c r="V32" s="3"/>
      <c r="W32" s="3"/>
    </row>
    <row r="33" spans="1:23" x14ac:dyDescent="0.25">
      <c r="A33" s="3"/>
      <c r="B33" s="3"/>
      <c r="C33" s="6">
        <v>278.34999999999997</v>
      </c>
      <c r="D33" s="6" cm="1">
        <f t="array" ref="D33">hydp(C33,33.5)</f>
        <v>4.958966453412347</v>
      </c>
      <c r="E33" s="7"/>
      <c r="F33" s="7">
        <v>278.34999999999997</v>
      </c>
      <c r="G33" s="7" cm="1">
        <f t="array" ref="G33">hydp(F33,0)</f>
        <v>4.3631118633308779</v>
      </c>
      <c r="H33" s="7"/>
      <c r="I33" s="7">
        <v>278.34999999999997</v>
      </c>
      <c r="J33" s="7" cm="1">
        <f t="array" ref="J33">hydp(I33,70)</f>
        <v>5.7555512667394124</v>
      </c>
      <c r="K33" s="7"/>
      <c r="L33" s="7">
        <v>278.34999999999997</v>
      </c>
      <c r="M33" s="7" cm="1">
        <f t="array" ref="M33">hydp(L33,50)</f>
        <v>5.2979123382774587</v>
      </c>
      <c r="N33" s="3"/>
      <c r="O33" s="7">
        <v>297.14999999999998</v>
      </c>
      <c r="P33" s="7">
        <v>484.53</v>
      </c>
      <c r="Q33" s="7">
        <f t="shared" si="0"/>
        <v>48.452999999999996</v>
      </c>
      <c r="R33" s="7"/>
      <c r="S33" s="7">
        <v>299.14999999999998</v>
      </c>
      <c r="T33" s="7">
        <v>513.20000000000005</v>
      </c>
      <c r="U33" s="7">
        <f t="shared" si="1"/>
        <v>51.320000000000007</v>
      </c>
      <c r="V33" s="3"/>
      <c r="W33" s="3"/>
    </row>
    <row r="34" spans="1:23" x14ac:dyDescent="0.25">
      <c r="A34" s="3"/>
      <c r="B34" s="3"/>
      <c r="C34" s="6">
        <v>278.54999999999995</v>
      </c>
      <c r="D34" s="6" cm="1">
        <f t="array" ref="D34">hydp(C34,33.5)</f>
        <v>5.0633647399217381</v>
      </c>
      <c r="E34" s="7"/>
      <c r="F34" s="7">
        <v>278.54999999999995</v>
      </c>
      <c r="G34" s="7" cm="1">
        <f t="array" ref="G34">hydp(F34,0)</f>
        <v>4.4530417368031525</v>
      </c>
      <c r="H34" s="7"/>
      <c r="I34" s="7">
        <v>278.54999999999995</v>
      </c>
      <c r="J34" s="7" cm="1">
        <f t="array" ref="J34">hydp(I34,70)</f>
        <v>5.8805587209436636</v>
      </c>
      <c r="K34" s="7"/>
      <c r="L34" s="7">
        <v>278.54999999999995</v>
      </c>
      <c r="M34" s="7" cm="1">
        <f t="array" ref="M34">hydp(L34,50)</f>
        <v>5.4109160315203457</v>
      </c>
      <c r="N34" s="3"/>
      <c r="O34" s="7">
        <v>298.14999999999998</v>
      </c>
      <c r="P34" s="7">
        <v>546.21</v>
      </c>
      <c r="Q34" s="7">
        <f t="shared" si="0"/>
        <v>54.621000000000002</v>
      </c>
      <c r="R34" s="7"/>
      <c r="S34" s="7">
        <v>300.14999999999998</v>
      </c>
      <c r="T34" s="7">
        <v>576.84</v>
      </c>
      <c r="U34" s="7">
        <f t="shared" si="1"/>
        <v>57.684000000000005</v>
      </c>
      <c r="V34" s="3"/>
      <c r="W34" s="3"/>
    </row>
    <row r="35" spans="1:23" x14ac:dyDescent="0.25">
      <c r="A35" s="3"/>
      <c r="B35" s="3"/>
      <c r="C35" s="6">
        <v>278.75</v>
      </c>
      <c r="D35" s="6" cm="1">
        <f t="array" ref="D35">hydp(C35,33.5)</f>
        <v>5.1704004988457823</v>
      </c>
      <c r="E35" s="7"/>
      <c r="F35" s="7">
        <v>278.75</v>
      </c>
      <c r="G35" s="7" cm="1">
        <f t="array" ref="G35">hydp(F35,0)</f>
        <v>4.5451312892545639</v>
      </c>
      <c r="H35" s="7"/>
      <c r="I35" s="7">
        <v>278.75</v>
      </c>
      <c r="J35" s="7" cm="1">
        <f t="array" ref="J35">hydp(I35,70)</f>
        <v>6.0089624885569108</v>
      </c>
      <c r="K35" s="7"/>
      <c r="L35" s="7">
        <v>278.75</v>
      </c>
      <c r="M35" s="7" cm="1">
        <f t="array" ref="M35">hydp(L35,50)</f>
        <v>5.5268643472842474</v>
      </c>
      <c r="N35" s="3"/>
      <c r="O35" s="7">
        <v>299.14999999999998</v>
      </c>
      <c r="P35" s="7">
        <v>613.20000000000005</v>
      </c>
      <c r="Q35" s="7">
        <f t="shared" si="0"/>
        <v>61.320000000000007</v>
      </c>
      <c r="R35" s="7"/>
      <c r="S35" s="7">
        <v>301.14999999999998</v>
      </c>
      <c r="T35" s="7">
        <v>645.80999999999995</v>
      </c>
      <c r="U35" s="7">
        <f t="shared" si="1"/>
        <v>64.580999999999989</v>
      </c>
      <c r="V35" s="3"/>
      <c r="W35" s="3"/>
    </row>
    <row r="36" spans="1:23" x14ac:dyDescent="0.25">
      <c r="A36" s="3"/>
      <c r="B36" s="3"/>
      <c r="C36" s="6">
        <v>278.95</v>
      </c>
      <c r="D36" s="6" cm="1">
        <f t="array" ref="D36">hydp(C36,33.5)</f>
        <v>5.2801516071878858</v>
      </c>
      <c r="E36" s="7"/>
      <c r="F36" s="7">
        <v>278.95</v>
      </c>
      <c r="G36" s="7" cm="1">
        <f t="array" ref="G36">hydp(F36,0)</f>
        <v>4.6394365913705657</v>
      </c>
      <c r="H36" s="7"/>
      <c r="I36" s="7">
        <v>278.95</v>
      </c>
      <c r="J36" s="7" cm="1">
        <f t="array" ref="J36">hydp(I36,70)</f>
        <v>6.140878583680605</v>
      </c>
      <c r="K36" s="7"/>
      <c r="L36" s="7">
        <v>278.95</v>
      </c>
      <c r="M36" s="7" cm="1">
        <f t="array" ref="M36">hydp(L36,50)</f>
        <v>5.6458501823890899</v>
      </c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3" x14ac:dyDescent="0.25">
      <c r="A37" s="3"/>
      <c r="B37" s="3"/>
      <c r="C37" s="6">
        <v>279.14999999999998</v>
      </c>
      <c r="D37" s="6" cm="1">
        <f t="array" ref="D37">hydp(C37,33.5)</f>
        <v>5.3926982044258898</v>
      </c>
      <c r="E37" s="7"/>
      <c r="F37" s="7">
        <v>279.14999999999998</v>
      </c>
      <c r="G37" s="7" cm="1">
        <f t="array" ref="G37">hydp(F37,0)</f>
        <v>4.7360152614857123</v>
      </c>
      <c r="H37" s="7"/>
      <c r="I37" s="7">
        <v>279.14999999999998</v>
      </c>
      <c r="J37" s="7" cm="1">
        <f t="array" ref="J37">hydp(I37,70)</f>
        <v>6.2764265045375449</v>
      </c>
      <c r="K37" s="7"/>
      <c r="L37" s="7">
        <v>279.14999999999998</v>
      </c>
      <c r="M37" s="7" cm="1">
        <f t="array" ref="M37">hydp(L37,50)</f>
        <v>5.7679691748722259</v>
      </c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x14ac:dyDescent="0.25">
      <c r="A38" s="3"/>
      <c r="B38" s="3"/>
      <c r="C38" s="6">
        <v>279.34999999999997</v>
      </c>
      <c r="D38" s="6" cm="1">
        <f t="array" ref="D38">hydp(C38,33.5)</f>
        <v>5.5081227555150498</v>
      </c>
      <c r="E38" s="7"/>
      <c r="F38" s="7">
        <v>279.34999999999997</v>
      </c>
      <c r="G38" s="7" cm="1">
        <f t="array" ref="G38">hydp(F38,0)</f>
        <v>4.8349265103068388</v>
      </c>
      <c r="H38" s="7"/>
      <c r="I38" s="7">
        <v>279.34999999999997</v>
      </c>
      <c r="J38" s="7" cm="1">
        <f t="array" ref="J38">hydp(I38,70)</f>
        <v>6.4157293243094156</v>
      </c>
      <c r="K38" s="7"/>
      <c r="L38" s="7">
        <v>279.34999999999997</v>
      </c>
      <c r="M38" s="7" cm="1">
        <f t="array" ref="M38">hydp(L38,50)</f>
        <v>5.8933197778872914</v>
      </c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3" x14ac:dyDescent="0.25">
      <c r="A39" s="3"/>
      <c r="B39" s="3"/>
      <c r="C39" s="6">
        <v>279.54999999999995</v>
      </c>
      <c r="D39" s="6" cm="1">
        <f t="array" ref="D39">hydp(C39,33.5)</f>
        <v>5.6265101137859324</v>
      </c>
      <c r="E39" s="7"/>
      <c r="F39" s="7">
        <v>279.54999999999995</v>
      </c>
      <c r="G39" s="7" cm="1">
        <f t="array" ref="G39">hydp(F39,0)</f>
        <v>4.9362311869820914</v>
      </c>
      <c r="H39" s="7"/>
      <c r="I39" s="7">
        <v>279.54999999999995</v>
      </c>
      <c r="J39" s="7" cm="1">
        <f t="array" ref="J39">hydp(I39,70)</f>
        <v>6.5589137777357154</v>
      </c>
      <c r="K39" s="7"/>
      <c r="L39" s="7">
        <v>279.54999999999995</v>
      </c>
      <c r="M39" s="7" cm="1">
        <f t="array" ref="M39">hydp(L39,50)</f>
        <v>6.0220033320151876</v>
      </c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3" x14ac:dyDescent="0.25">
      <c r="A40" s="3"/>
      <c r="B40" s="3"/>
      <c r="C40" s="6">
        <v>279.75</v>
      </c>
      <c r="D40" s="6" cm="1">
        <f t="array" ref="D40">hydp(C40,33.5)</f>
        <v>5.7479475851162318</v>
      </c>
      <c r="E40" s="7"/>
      <c r="F40" s="7">
        <v>279.75</v>
      </c>
      <c r="G40" s="7" cm="1">
        <f t="array" ref="G40">hydp(F40,0)</f>
        <v>5.0399918265543349</v>
      </c>
      <c r="H40" s="7"/>
      <c r="I40" s="7">
        <v>279.75</v>
      </c>
      <c r="J40" s="7" cm="1">
        <f t="array" ref="J40">hydp(I40,70)</f>
        <v>6.7061103478617925</v>
      </c>
      <c r="K40" s="7"/>
      <c r="L40" s="7">
        <v>279.75</v>
      </c>
      <c r="M40" s="7" cm="1">
        <f t="array" ref="M40">hydp(L40,50)</f>
        <v>6.1541241384940433</v>
      </c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x14ac:dyDescent="0.25">
      <c r="A41" s="3"/>
      <c r="B41" s="3"/>
      <c r="C41" s="6">
        <v>279.95</v>
      </c>
      <c r="D41" s="6" cm="1">
        <f t="array" ref="D41">hydp(C41,33.5)</f>
        <v>5.8725249944235243</v>
      </c>
      <c r="E41" s="7"/>
      <c r="F41" s="7">
        <v>279.95</v>
      </c>
      <c r="G41" s="7" cm="1">
        <f t="array" ref="G41">hydp(F41,0)</f>
        <v>5.1462726988394936</v>
      </c>
      <c r="H41" s="7"/>
      <c r="I41" s="7">
        <v>279.95</v>
      </c>
      <c r="J41" s="7" cm="1">
        <f t="array" ref="J41">hydp(I41,70)</f>
        <v>6.857453356229402</v>
      </c>
      <c r="K41" s="7"/>
      <c r="L41" s="7">
        <v>279.95</v>
      </c>
      <c r="M41" s="7" cm="1">
        <f t="array" ref="M41">hydp(L41,50)</f>
        <v>6.2897895352584294</v>
      </c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x14ac:dyDescent="0.25">
      <c r="A42" s="3"/>
      <c r="B42" s="3"/>
      <c r="C42" s="6">
        <v>280.14999999999998</v>
      </c>
      <c r="D42" s="6" cm="1">
        <f t="array" ref="D42">hydp(C42,33.5)</f>
        <v>6.0003347525381443</v>
      </c>
      <c r="E42" s="7"/>
      <c r="F42" s="7">
        <v>280.14999999999998</v>
      </c>
      <c r="G42" s="7" cm="1">
        <f t="array" ref="G42">hydp(F42,0)</f>
        <v>5.2551398587785929</v>
      </c>
      <c r="H42" s="7"/>
      <c r="I42" s="7">
        <v>280.14999999999998</v>
      </c>
      <c r="J42" s="7" cm="1">
        <f t="array" ref="J42">hydp(I42,70)</f>
        <v>7.0130810498108245</v>
      </c>
      <c r="K42" s="7"/>
      <c r="L42" s="7">
        <v>280.14999999999998</v>
      </c>
      <c r="M42" s="7" cm="1">
        <f t="array" ref="M42">hydp(L42,50)</f>
        <v>6.4291099720995186</v>
      </c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x14ac:dyDescent="0.25">
      <c r="A43" s="3"/>
      <c r="B43" s="3"/>
      <c r="C43" s="6">
        <v>280.34999999999997</v>
      </c>
      <c r="D43" s="6" cm="1">
        <f t="array" ref="D43">hydp(C43,33.5)</f>
        <v>6.1314719247465979</v>
      </c>
      <c r="E43" s="7"/>
      <c r="F43" s="7">
        <v>280.34999999999997</v>
      </c>
      <c r="G43" s="7" cm="1">
        <f t="array" ref="G43">hydp(F43,0)</f>
        <v>5.3666611983058559</v>
      </c>
      <c r="H43" s="7"/>
      <c r="I43" s="7">
        <v>280.34999999999997</v>
      </c>
      <c r="J43" s="7" cm="1">
        <f t="array" ref="J43">hydp(I43,70)</f>
        <v>7.1731356887669699</v>
      </c>
      <c r="K43" s="7"/>
      <c r="L43" s="7">
        <v>280.34999999999997</v>
      </c>
      <c r="M43" s="7" cm="1">
        <f t="array" ref="M43">hydp(L43,50)</f>
        <v>6.5721990872839413</v>
      </c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x14ac:dyDescent="0.25">
      <c r="A44" s="3"/>
      <c r="B44" s="3"/>
      <c r="C44" s="6">
        <v>280.54999999999995</v>
      </c>
      <c r="D44" s="6" cm="1">
        <f t="array" ref="D44">hydp(C44,33.5)</f>
        <v>6.2660343013174495</v>
      </c>
      <c r="E44" s="7"/>
      <c r="F44" s="7">
        <v>280.54999999999995</v>
      </c>
      <c r="G44" s="7" cm="1">
        <f t="array" ref="G44">hydp(F44,0)</f>
        <v>5.4809064997797634</v>
      </c>
      <c r="H44" s="7"/>
      <c r="I44" s="7">
        <v>280.54999999999995</v>
      </c>
      <c r="J44" s="7" cm="1">
        <f t="array" ref="J44">hydp(I44,70)</f>
        <v>7.3377636358347056</v>
      </c>
      <c r="K44" s="7"/>
      <c r="L44" s="7">
        <v>280.54999999999995</v>
      </c>
      <c r="M44" s="7" cm="1">
        <f t="array" ref="M44">hydp(L44,50)</f>
        <v>6.7191737861403551</v>
      </c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x14ac:dyDescent="0.25">
      <c r="A45" s="3"/>
      <c r="B45" s="3"/>
      <c r="C45" s="6">
        <v>280.75</v>
      </c>
      <c r="D45" s="6" cm="1">
        <f t="array" ref="D45">hydp(C45,33.5)</f>
        <v>6.4041224668774506</v>
      </c>
      <c r="E45" s="7"/>
      <c r="F45" s="7">
        <v>280.75</v>
      </c>
      <c r="G45" s="7" cm="1">
        <f t="array" ref="G45">hydp(F45,0)</f>
        <v>5.5979474910321079</v>
      </c>
      <c r="H45" s="7"/>
      <c r="I45" s="7">
        <v>280.75</v>
      </c>
      <c r="J45" s="7" cm="1">
        <f t="array" ref="J45">hydp(I45,70)</f>
        <v>7.5071154365947113</v>
      </c>
      <c r="K45" s="7"/>
      <c r="L45" s="7">
        <v>280.75</v>
      </c>
      <c r="M45" s="7" cm="1">
        <f t="array" ref="M45">hydp(L45,50)</f>
        <v>6.8701543156853058</v>
      </c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x14ac:dyDescent="0.25">
      <c r="A46" s="3"/>
      <c r="B46" s="3"/>
      <c r="C46" s="6">
        <v>280.95</v>
      </c>
      <c r="D46" s="6" cm="1">
        <f t="array" ref="D46">hydp(C46,33.5)</f>
        <v>6.5458398726238176</v>
      </c>
      <c r="E46" s="7"/>
      <c r="F46" s="7">
        <v>280.95</v>
      </c>
      <c r="G46" s="7" cm="1">
        <f t="array" ref="G46">hydp(F46,0)</f>
        <v>5.7178579020766431</v>
      </c>
      <c r="H46" s="7"/>
      <c r="I46" s="7">
        <v>280.95</v>
      </c>
      <c r="J46" s="7" cm="1">
        <f t="array" ref="J46">hydp(I46,70)</f>
        <v>7.6813459036802723</v>
      </c>
      <c r="K46" s="7"/>
      <c r="L46" s="7">
        <v>280.95</v>
      </c>
      <c r="M46" s="7" cm="1">
        <f t="array" ref="M46">hydp(L46,50)</f>
        <v>7.0252643426473522</v>
      </c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x14ac:dyDescent="0.25">
      <c r="A47" s="3"/>
      <c r="B47" s="3"/>
      <c r="C47" s="6">
        <v>281.14999999999998</v>
      </c>
      <c r="D47" s="6" cm="1">
        <f t="array" ref="D47">hydp(C47,33.5)</f>
        <v>6.6912929125277874</v>
      </c>
      <c r="E47" s="7"/>
      <c r="F47" s="7">
        <v>281.14999999999998</v>
      </c>
      <c r="G47" s="7" cm="1">
        <f t="array" ref="G47">hydp(F47,0)</f>
        <v>5.840713523527131</v>
      </c>
      <c r="H47" s="7"/>
      <c r="I47" s="7">
        <v>281.14999999999998</v>
      </c>
      <c r="J47" s="7" cm="1">
        <f t="array" ref="J47">hydp(I47,70)</f>
        <v>7.8606142085791921</v>
      </c>
      <c r="K47" s="7"/>
      <c r="L47" s="7">
        <v>281.14999999999998</v>
      </c>
      <c r="M47" s="7" cm="1">
        <f t="array" ref="M47">hydp(L47,50)</f>
        <v>7.1846310369782431</v>
      </c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x14ac:dyDescent="0.25">
      <c r="A48" s="3"/>
      <c r="B48" s="3"/>
      <c r="C48" s="6">
        <v>281.34999999999997</v>
      </c>
      <c r="D48" s="6" cm="1">
        <f t="array" ref="D48">hydp(C48,33.5)</f>
        <v>6.8405909962228328</v>
      </c>
      <c r="E48" s="7"/>
      <c r="F48" s="7">
        <v>281.34999999999997</v>
      </c>
      <c r="G48" s="7" cm="1">
        <f t="array" ref="G48">hydp(F48,0)</f>
        <v>5.9665922667929125</v>
      </c>
      <c r="H48" s="7"/>
      <c r="I48" s="7">
        <v>281.34999999999997</v>
      </c>
      <c r="J48" s="7" cm="1">
        <f t="array" ref="J48">hydp(I48,70)</f>
        <v>8.0450839561779297</v>
      </c>
      <c r="K48" s="7"/>
      <c r="L48" s="7">
        <v>281.34999999999997</v>
      </c>
      <c r="M48" s="7" cm="1">
        <f t="array" ref="M48">hydp(L48,50)</f>
        <v>7.3483851470942483</v>
      </c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x14ac:dyDescent="0.25">
      <c r="A49" s="3"/>
      <c r="B49" s="3"/>
      <c r="C49" s="6">
        <v>281.54999999999995</v>
      </c>
      <c r="D49" s="6" cm="1">
        <f t="array" ref="D49">hydp(C49,33.5)</f>
        <v>6.9938466228755392</v>
      </c>
      <c r="E49" s="7"/>
      <c r="F49" s="7">
        <v>281.54999999999995</v>
      </c>
      <c r="G49" s="7" cm="1">
        <f t="array" ref="G49">hydp(F49,0)</f>
        <v>6.0955742260984866</v>
      </c>
      <c r="H49" s="7"/>
      <c r="I49" s="7">
        <v>281.54999999999995</v>
      </c>
      <c r="J49" s="7" cm="1">
        <f t="array" ref="J49">hydp(I49,70)</f>
        <v>8.2349232561207835</v>
      </c>
      <c r="K49" s="7"/>
      <c r="L49" s="7">
        <v>281.54999999999995</v>
      </c>
      <c r="M49" s="7" cm="1">
        <f t="array" ref="M49">hydp(L49,50)</f>
        <v>7.5166610747811129</v>
      </c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x14ac:dyDescent="0.25">
      <c r="A50" s="3"/>
      <c r="B50" s="3"/>
      <c r="C50" s="6">
        <v>281.75</v>
      </c>
      <c r="D50" s="6" cm="1">
        <f t="array" ref="D50">hydp(C50,33.5)</f>
        <v>7.151175461466627</v>
      </c>
      <c r="E50" s="7"/>
      <c r="F50" s="7">
        <v>281.75</v>
      </c>
      <c r="G50" s="7" cm="1">
        <f t="array" ref="G50">hydp(F50,0)</f>
        <v>6.2277417423724462</v>
      </c>
      <c r="H50" s="7"/>
      <c r="I50" s="7">
        <v>281.75</v>
      </c>
      <c r="J50" s="7" cm="1">
        <f t="array" ref="J50">hydp(I50,70)</f>
        <v>8.4303048089702539</v>
      </c>
      <c r="K50" s="7"/>
      <c r="L50" s="7">
        <v>281.75</v>
      </c>
      <c r="M50" s="7" cm="1">
        <f t="array" ref="M50">hydp(L50,50)</f>
        <v>7.6895969598350593</v>
      </c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25">
      <c r="A51" s="3"/>
      <c r="B51" s="3"/>
      <c r="C51" s="6">
        <v>281.95</v>
      </c>
      <c r="D51" s="6" cm="1">
        <f t="array" ref="D51">hydp(C51,33.5)</f>
        <v>7.312696427501411</v>
      </c>
      <c r="E51" s="7"/>
      <c r="F51" s="7">
        <v>281.95</v>
      </c>
      <c r="G51" s="7" cm="1">
        <f t="array" ref="G51">hydp(F51,0)</f>
        <v>6.363179469085158</v>
      </c>
      <c r="H51" s="7"/>
      <c r="I51" s="7">
        <v>281.95</v>
      </c>
      <c r="J51" s="7" cm="1">
        <f t="array" ref="J51">hydp(I51,70)</f>
        <v>8.6314059732271851</v>
      </c>
      <c r="K51" s="7"/>
      <c r="L51" s="7">
        <v>281.95</v>
      </c>
      <c r="M51" s="7" cm="1">
        <f t="array" ref="M51">hydp(L51,50)</f>
        <v>7.8673347556554285</v>
      </c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x14ac:dyDescent="0.25">
      <c r="A52" s="3"/>
      <c r="B52" s="3"/>
      <c r="C52" s="6">
        <v>282.14999999999998</v>
      </c>
      <c r="D52" s="6" cm="1">
        <f t="array" ref="D52">hydp(C52,33.5)</f>
        <v>7.4785317607300303</v>
      </c>
      <c r="E52" s="7"/>
      <c r="F52" s="7">
        <v>282.14999999999998</v>
      </c>
      <c r="G52" s="7" cm="1">
        <f t="array" ref="G52">hydp(F52,0)</f>
        <v>6.5019744400866584</v>
      </c>
      <c r="H52" s="7"/>
      <c r="I52" s="7">
        <v>282.14999999999998</v>
      </c>
      <c r="J52" s="7" cm="1">
        <f t="array" ref="J52">hydp(I52,70)</f>
        <v>8.8384088282165454</v>
      </c>
      <c r="K52" s="7"/>
      <c r="L52" s="7">
        <v>282.14999999999998</v>
      </c>
      <c r="M52" s="7" cm="1">
        <f t="array" ref="M52">hydp(L52,50)</f>
        <v>8.0500203042440752</v>
      </c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x14ac:dyDescent="0.25">
      <c r="A53" s="3"/>
      <c r="B53" s="3"/>
      <c r="C53" s="6">
        <v>282.34999999999997</v>
      </c>
      <c r="D53" s="6" cm="1">
        <f t="array" ref="D53">hydp(C53,33.5)</f>
        <v>7.6488071064173289</v>
      </c>
      <c r="E53" s="7"/>
      <c r="F53" s="7">
        <v>282.34999999999997</v>
      </c>
      <c r="G53" s="7" cm="1">
        <f t="array" ref="G53">hydp(F53,0)</f>
        <v>6.6442161395011903</v>
      </c>
      <c r="H53" s="7"/>
      <c r="I53" s="7">
        <v>282.34999999999997</v>
      </c>
      <c r="J53" s="7" cm="1">
        <f t="array" ref="J53">hydp(I53,70)</f>
        <v>9.0515002410772976</v>
      </c>
      <c r="K53" s="7"/>
      <c r="L53" s="7">
        <v>282.34999999999997</v>
      </c>
      <c r="M53" s="7" cm="1">
        <f t="array" ref="M53">hydp(L53,50)</f>
        <v>8.2378034152713244</v>
      </c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x14ac:dyDescent="0.25">
      <c r="A54" s="3"/>
      <c r="B54" s="3"/>
      <c r="C54" s="6">
        <v>282.54999999999995</v>
      </c>
      <c r="D54" s="6" cm="1">
        <f t="array" ref="D54">hydp(C54,33.5)</f>
        <v>7.8236515970136562</v>
      </c>
      <c r="E54" s="7"/>
      <c r="F54" s="7">
        <v>282.54999999999995</v>
      </c>
      <c r="G54" s="7" cm="1">
        <f t="array" ref="G54">hydp(F54,0)</f>
        <v>6.7899965737499492</v>
      </c>
      <c r="H54" s="7"/>
      <c r="I54" s="7">
        <v>282.54999999999995</v>
      </c>
      <c r="J54" s="7" cm="1">
        <f t="array" ref="J54">hydp(I54,70)</f>
        <v>9.2708719268307771</v>
      </c>
      <c r="K54" s="7"/>
      <c r="L54" s="7">
        <v>282.54999999999995</v>
      </c>
      <c r="M54" s="7" cm="1">
        <f t="array" ref="M54">hydp(L54,50)</f>
        <v>8.4308379431901859</v>
      </c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x14ac:dyDescent="0.25">
      <c r="A55" s="3"/>
      <c r="B55" s="3"/>
      <c r="C55" s="6">
        <v>282.75</v>
      </c>
      <c r="D55" s="6" cm="1">
        <f t="array" ref="D55">hydp(C55,33.5)</f>
        <v>8.0031979316276853</v>
      </c>
      <c r="E55" s="7"/>
      <c r="F55" s="7">
        <v>282.75</v>
      </c>
      <c r="G55" s="7" cm="1">
        <f t="array" ref="G55">hydp(F55,0)</f>
        <v>6.9394103457738545</v>
      </c>
      <c r="H55" s="7"/>
      <c r="I55" s="7">
        <v>282.75</v>
      </c>
      <c r="J55" s="7" cm="1">
        <f t="array" ref="J55">hydp(I55,70)</f>
        <v>9.4967204922757222</v>
      </c>
      <c r="K55" s="7"/>
      <c r="L55" s="7">
        <v>282.75</v>
      </c>
      <c r="M55" s="7" cm="1">
        <f t="array" ref="M55">hydp(L55,50)</f>
        <v>8.6292818573933481</v>
      </c>
      <c r="N55" s="3"/>
      <c r="O55" s="3"/>
      <c r="P55" s="3"/>
      <c r="Q55" s="3"/>
      <c r="R55" s="3"/>
      <c r="S55" s="3"/>
      <c r="T55" s="3"/>
      <c r="U55" s="3"/>
      <c r="V55" s="3"/>
      <c r="W55" s="3"/>
    </row>
    <row r="56" spans="1:23" x14ac:dyDescent="0.25">
      <c r="A56" s="3"/>
      <c r="B56" s="3"/>
      <c r="C56" s="6">
        <v>282.95</v>
      </c>
      <c r="D56" s="6" cm="1">
        <f t="array" ref="D56">hydp(C56,33.5)</f>
        <v>8.1875824597990743</v>
      </c>
      <c r="E56" s="7"/>
      <c r="F56" s="7">
        <v>282.95</v>
      </c>
      <c r="G56" s="7" cm="1">
        <f t="array" ref="G56">hydp(F56,0)</f>
        <v>7.0925547315111421</v>
      </c>
      <c r="H56" s="7"/>
      <c r="I56" s="7">
        <v>282.95</v>
      </c>
      <c r="J56" s="7" cm="1">
        <f t="array" ref="J56">hydp(I56,70)</f>
        <v>9.7292474852846045</v>
      </c>
      <c r="K56" s="7"/>
      <c r="L56" s="7">
        <v>282.95</v>
      </c>
      <c r="M56" s="7" cm="1">
        <f t="array" ref="M56">hydp(L56,50)</f>
        <v>8.8332973174805591</v>
      </c>
      <c r="N56" s="3"/>
      <c r="O56" s="3"/>
      <c r="P56" s="3"/>
      <c r="Q56" s="3"/>
      <c r="R56" s="3"/>
      <c r="S56" s="3"/>
      <c r="T56" s="3"/>
      <c r="U56" s="3"/>
      <c r="V56" s="3"/>
      <c r="W56" s="3"/>
    </row>
    <row r="57" spans="1:23" x14ac:dyDescent="0.25">
      <c r="A57" s="3"/>
      <c r="B57" s="3"/>
      <c r="C57" s="6">
        <v>283.14999999999998</v>
      </c>
      <c r="D57" s="6" cm="1">
        <f t="array" ref="D57">hydp(C57,33.5)</f>
        <v>8.3769452630661032</v>
      </c>
      <c r="E57" s="7"/>
      <c r="F57" s="7">
        <v>283.14999999999998</v>
      </c>
      <c r="G57" s="7" cm="1">
        <f t="array" ref="G57">hydp(F57,0)</f>
        <v>7.2495297587148784</v>
      </c>
      <c r="H57" s="7"/>
      <c r="I57" s="7">
        <v>283.14999999999998</v>
      </c>
      <c r="J57" s="7" cm="1">
        <f t="array" ref="J57">hydp(I57,70)</f>
        <v>9.9686594269890012</v>
      </c>
      <c r="K57" s="7"/>
      <c r="L57" s="7">
        <v>283.14999999999998</v>
      </c>
      <c r="M57" s="7" cm="1">
        <f t="array" ref="M57">hydp(L57,50)</f>
        <v>9.0430507412907648</v>
      </c>
      <c r="N57" s="3"/>
      <c r="O57" s="3"/>
      <c r="P57" s="3"/>
      <c r="Q57" s="3"/>
      <c r="R57" s="3"/>
      <c r="S57" s="3"/>
      <c r="T57" s="3"/>
      <c r="U57" s="3"/>
      <c r="V57" s="3"/>
      <c r="W57" s="3"/>
    </row>
    <row r="58" spans="1:23" x14ac:dyDescent="0.25">
      <c r="A58" s="3"/>
      <c r="B58" s="3"/>
      <c r="C58" s="6">
        <v>283.34999999999997</v>
      </c>
      <c r="D58" s="6" cm="1">
        <f t="array" ref="D58">hydp(C58,33.5)</f>
        <v>8.5714302425008881</v>
      </c>
      <c r="E58" s="7"/>
      <c r="F58" s="7">
        <v>283.34999999999997</v>
      </c>
      <c r="G58" s="7" cm="1">
        <f t="array" ref="G58">hydp(F58,0)</f>
        <v>7.4104382881656097</v>
      </c>
      <c r="H58" s="7"/>
      <c r="I58" s="7">
        <v>283.34999999999997</v>
      </c>
      <c r="J58" s="7" cm="1">
        <f t="array" ref="J58">hydp(I58,70)</f>
        <v>10.215167854180681</v>
      </c>
      <c r="K58" s="7"/>
      <c r="L58" s="7">
        <v>283.34999999999997</v>
      </c>
      <c r="M58" s="7" cm="1">
        <f t="array" ref="M58">hydp(L58,50)</f>
        <v>9.2587128809267139</v>
      </c>
      <c r="N58" s="3"/>
      <c r="O58" s="3"/>
      <c r="P58" s="3"/>
      <c r="Q58" s="3"/>
      <c r="R58" s="3"/>
      <c r="S58" s="3"/>
      <c r="T58" s="3"/>
      <c r="U58" s="3"/>
      <c r="V58" s="3"/>
      <c r="W58" s="3"/>
    </row>
    <row r="59" spans="1:23" x14ac:dyDescent="0.25">
      <c r="A59" s="3"/>
      <c r="B59" s="3"/>
      <c r="C59" s="6">
        <v>283.54999999999995</v>
      </c>
      <c r="D59" s="6" cm="1">
        <f t="array" ref="D59">hydp(C59,33.5)</f>
        <v>8.7711851962431897</v>
      </c>
      <c r="E59" s="7"/>
      <c r="F59" s="7">
        <v>283.54999999999995</v>
      </c>
      <c r="G59" s="7" cm="1">
        <f t="array" ref="G59">hydp(F59,0)</f>
        <v>7.5753860973884919</v>
      </c>
      <c r="H59" s="7"/>
      <c r="I59" s="7">
        <v>283.54999999999995</v>
      </c>
      <c r="J59" s="7" cm="1">
        <f t="array" ref="J59">hydp(I59,70)</f>
        <v>10.468989317025683</v>
      </c>
      <c r="K59" s="7"/>
      <c r="L59" s="7">
        <v>283.54999999999995</v>
      </c>
      <c r="M59" s="7" cm="1">
        <f t="array" ref="M59">hydp(L59,50)</f>
        <v>9.4804588765856987</v>
      </c>
      <c r="N59" s="3"/>
      <c r="O59" s="3"/>
      <c r="P59" s="3"/>
      <c r="Q59" s="3"/>
      <c r="R59" s="3"/>
      <c r="S59" s="3"/>
      <c r="T59" s="3"/>
      <c r="U59" s="3"/>
      <c r="V59" s="3"/>
      <c r="W59" s="3"/>
    </row>
    <row r="60" spans="1:23" x14ac:dyDescent="0.25">
      <c r="A60" s="3"/>
      <c r="B60" s="3"/>
      <c r="C60" s="6">
        <v>283.75</v>
      </c>
      <c r="D60" s="6" cm="1">
        <f t="array" ref="D60">hydp(C60,33.5)</f>
        <v>8.9763619104417796</v>
      </c>
      <c r="E60" s="7"/>
      <c r="F60" s="7">
        <v>283.75</v>
      </c>
      <c r="G60" s="7" cm="1">
        <f t="array" ref="G60">hydp(F60,0)</f>
        <v>7.7444819669038454</v>
      </c>
      <c r="H60" s="7"/>
      <c r="I60" s="7">
        <v>283.75</v>
      </c>
      <c r="J60" s="7" cm="1">
        <f t="array" ref="J60">hydp(I60,70)</f>
        <v>10.730345411359028</v>
      </c>
      <c r="K60" s="7"/>
      <c r="L60" s="7">
        <v>283.75</v>
      </c>
      <c r="M60" s="7" cm="1">
        <f t="array" ref="M60">hydp(L60,50)</f>
        <v>9.7084683320930623</v>
      </c>
      <c r="N60" s="3"/>
      <c r="O60" s="3"/>
      <c r="P60" s="3"/>
      <c r="Q60" s="3"/>
      <c r="R60" s="3"/>
      <c r="S60" s="3"/>
      <c r="T60" s="3"/>
      <c r="U60" s="3"/>
      <c r="V60" s="3"/>
      <c r="W60" s="3"/>
    </row>
    <row r="61" spans="1:23" x14ac:dyDescent="0.25">
      <c r="A61" s="3"/>
      <c r="B61" s="3"/>
      <c r="C61" s="6">
        <v>283.95</v>
      </c>
      <c r="D61" s="6" cm="1">
        <f t="array" ref="D61">hydp(C61,33.5)</f>
        <v>9.1871162404896509</v>
      </c>
      <c r="E61" s="7"/>
      <c r="F61" s="7">
        <v>283.95</v>
      </c>
      <c r="G61" s="7" cm="1">
        <f t="array" ref="G61">hydp(F61,0)</f>
        <v>7.9178377691393464</v>
      </c>
      <c r="H61" s="7"/>
      <c r="I61" s="7">
        <v>283.95</v>
      </c>
      <c r="J61" s="7" cm="1">
        <f t="array" ref="J61">hydp(I61,70)</f>
        <v>10.999462766226017</v>
      </c>
      <c r="K61" s="7"/>
      <c r="L61" s="7">
        <v>283.95</v>
      </c>
      <c r="M61" s="7" cm="1">
        <f t="array" ref="M61">hydp(L61,50)</f>
        <v>9.9429253684879448</v>
      </c>
      <c r="N61" s="3"/>
      <c r="O61" s="3"/>
      <c r="P61" s="3"/>
      <c r="Q61" s="3"/>
      <c r="R61" s="3"/>
      <c r="S61" s="3"/>
      <c r="T61" s="3"/>
      <c r="U61" s="3"/>
      <c r="V61" s="3"/>
      <c r="W61" s="3"/>
    </row>
    <row r="62" spans="1:23" x14ac:dyDescent="0.25">
      <c r="A62" s="3"/>
      <c r="B62" s="3"/>
      <c r="C62" s="6">
        <v>284.14999999999998</v>
      </c>
      <c r="D62" s="6" cm="1">
        <f t="array" ref="D62">hydp(C62,33.5)</f>
        <v>9.4036081948350798</v>
      </c>
      <c r="E62" s="7"/>
      <c r="F62" s="7">
        <v>284.14999999999998</v>
      </c>
      <c r="G62" s="7" cm="1">
        <f t="array" ref="G62">hydp(F62,0)</f>
        <v>8.0955685600619987</v>
      </c>
      <c r="H62" s="7"/>
      <c r="I62" s="7">
        <v>284.14999999999998</v>
      </c>
      <c r="J62" s="7" cm="1">
        <f t="array" ref="J62">hydp(I62,70)</f>
        <v>11.276573027939097</v>
      </c>
      <c r="K62" s="7"/>
      <c r="L62" s="7">
        <v>284.14999999999998</v>
      </c>
      <c r="M62" s="7" cm="1">
        <f t="array" ref="M62">hydp(L62,50)</f>
        <v>10.184018678601428</v>
      </c>
      <c r="N62" s="3"/>
      <c r="O62" s="3"/>
      <c r="P62" s="3"/>
      <c r="Q62" s="3"/>
      <c r="R62" s="3"/>
      <c r="S62" s="3"/>
      <c r="T62" s="3"/>
      <c r="U62" s="3"/>
      <c r="V62" s="3"/>
      <c r="W62" s="3"/>
    </row>
    <row r="63" spans="1:23" x14ac:dyDescent="0.25">
      <c r="A63" s="3"/>
      <c r="B63" s="3"/>
      <c r="C63" s="6">
        <v>284.34999999999997</v>
      </c>
      <c r="D63" s="6" cm="1">
        <f t="array" ref="D63">hydp(C63,33.5)</f>
        <v>9.6260020239980211</v>
      </c>
      <c r="E63" s="7"/>
      <c r="F63" s="7">
        <v>284.34999999999997</v>
      </c>
      <c r="G63" s="7" cm="1">
        <f t="array" ref="G63">hydp(F63,0)</f>
        <v>8.2777926736090972</v>
      </c>
      <c r="H63" s="7"/>
      <c r="I63" s="7">
        <v>284.34999999999997</v>
      </c>
      <c r="J63" s="7" cm="1">
        <f t="array" ref="J63">hydp(I63,70)</f>
        <v>11.561912849221084</v>
      </c>
      <c r="K63" s="7"/>
      <c r="L63" s="7">
        <v>284.34999999999997</v>
      </c>
      <c r="M63" s="7" cm="1">
        <f t="array" ref="M63">hydp(L63,50)</f>
        <v>10.431941587450934</v>
      </c>
      <c r="N63" s="3"/>
      <c r="O63" s="3"/>
      <c r="P63" s="3"/>
      <c r="Q63" s="3"/>
      <c r="R63" s="3"/>
      <c r="S63" s="3"/>
      <c r="T63" s="3"/>
      <c r="U63" s="3"/>
      <c r="V63" s="3"/>
      <c r="W63" s="3"/>
    </row>
    <row r="64" spans="1:23" x14ac:dyDescent="0.25">
      <c r="A64" s="3"/>
      <c r="B64" s="3"/>
      <c r="C64" s="6">
        <v>284.54999999999995</v>
      </c>
      <c r="D64" s="6" cm="1">
        <f t="array" ref="D64">hydp(C64,33.5)</f>
        <v>9.8544662995663206</v>
      </c>
      <c r="E64" s="7"/>
      <c r="F64" s="7">
        <v>284.54999999999995</v>
      </c>
      <c r="G64" s="7" cm="1">
        <f t="array" ref="G64">hydp(F64,0)</f>
        <v>8.4646318190388392</v>
      </c>
      <c r="H64" s="7"/>
      <c r="I64" s="7">
        <v>284.54999999999995</v>
      </c>
      <c r="J64" s="7" cm="1">
        <f t="array" ref="J64">hydp(I64,70)</f>
        <v>11.855723830564143</v>
      </c>
      <c r="K64" s="7"/>
      <c r="L64" s="7">
        <v>284.54999999999995</v>
      </c>
      <c r="M64" s="7" cm="1">
        <f t="array" ref="M64">hydp(L64,50)</f>
        <v>10.686892089540327</v>
      </c>
      <c r="N64" s="3"/>
      <c r="O64" s="3"/>
      <c r="P64" s="3"/>
      <c r="Q64" s="3"/>
      <c r="R64" s="3"/>
      <c r="S64" s="3"/>
      <c r="T64" s="3"/>
      <c r="U64" s="3"/>
      <c r="V64" s="3"/>
      <c r="W64" s="3"/>
    </row>
    <row r="65" spans="1:23" x14ac:dyDescent="0.25">
      <c r="A65" s="3"/>
      <c r="B65" s="3"/>
      <c r="C65" s="6">
        <v>284.75</v>
      </c>
      <c r="D65" s="6" cm="1">
        <f t="array" ref="D65">hydp(C65,33.5)</f>
        <v>10.089174001849619</v>
      </c>
      <c r="E65" s="7"/>
      <c r="F65" s="7">
        <v>284.75</v>
      </c>
      <c r="G65" s="7" cm="1">
        <f t="array" ref="G65">hydp(F65,0)</f>
        <v>8.6562111812528801</v>
      </c>
      <c r="H65" s="7"/>
      <c r="I65" s="7">
        <v>284.75</v>
      </c>
      <c r="J65" s="7" cm="1">
        <f t="array" ref="J65">hydp(I65,70)</f>
        <v>12.158252477299401</v>
      </c>
      <c r="K65" s="7"/>
      <c r="L65" s="7">
        <v>284.75</v>
      </c>
      <c r="M65" s="7" cm="1">
        <f t="array" ref="M65">hydp(L65,50)</f>
        <v>10.949072898135505</v>
      </c>
      <c r="N65" s="3"/>
      <c r="O65" s="3"/>
      <c r="P65" s="3"/>
      <c r="Q65" s="3"/>
      <c r="R65" s="3"/>
      <c r="S65" s="3"/>
      <c r="T65" s="3"/>
      <c r="U65" s="3"/>
      <c r="V65" s="3"/>
      <c r="W65" s="3"/>
    </row>
    <row r="66" spans="1:23" x14ac:dyDescent="0.25">
      <c r="A66" s="3"/>
      <c r="B66" s="3"/>
      <c r="C66" s="6">
        <v>284.95</v>
      </c>
      <c r="D66" s="6" cm="1">
        <f t="array" ref="D66">hydp(C66,33.5)</f>
        <v>10.3303026033664</v>
      </c>
      <c r="E66" s="7"/>
      <c r="F66" s="7">
        <v>284.95</v>
      </c>
      <c r="G66" s="7" cm="1">
        <f t="array" ref="G66">hydp(F66,0)</f>
        <v>8.8526595242112815</v>
      </c>
      <c r="H66" s="7"/>
      <c r="I66" s="7">
        <v>284.95</v>
      </c>
      <c r="J66" s="7" cm="1">
        <f t="array" ref="J66">hydp(I66,70)</f>
        <v>12.469750127749975</v>
      </c>
      <c r="K66" s="7"/>
      <c r="L66" s="7">
        <v>284.95</v>
      </c>
      <c r="M66" s="7" cm="1">
        <f t="array" ref="M66">hydp(L66,50)</f>
        <v>11.218691482133233</v>
      </c>
      <c r="N66" s="3"/>
      <c r="O66" s="3"/>
      <c r="P66" s="3"/>
      <c r="Q66" s="3"/>
      <c r="R66" s="3"/>
      <c r="S66" s="3"/>
      <c r="T66" s="3"/>
      <c r="U66" s="3"/>
      <c r="V66" s="3"/>
      <c r="W66" s="3"/>
    </row>
    <row r="67" spans="1:23" x14ac:dyDescent="0.25">
      <c r="A67" s="3"/>
      <c r="B67" s="3"/>
      <c r="C67" s="6">
        <v>285.14999999999998</v>
      </c>
      <c r="D67" s="6" cm="1">
        <f t="array" ref="D67">hydp(C67,33.5)</f>
        <v>10.578034150796643</v>
      </c>
      <c r="E67" s="7"/>
      <c r="F67" s="7">
        <v>285.14999999999998</v>
      </c>
      <c r="G67" s="7" cm="1">
        <f t="array" ref="G67">hydp(F67,0)</f>
        <v>9.05410929753236</v>
      </c>
      <c r="H67" s="7"/>
      <c r="I67" s="7">
        <v>285.14999999999998</v>
      </c>
      <c r="J67" s="7" cm="1">
        <f t="array" ref="J67">hydp(I67,70)</f>
        <v>12.790472860812718</v>
      </c>
      <c r="K67" s="7"/>
      <c r="L67" s="7">
        <v>285.14999999999998</v>
      </c>
      <c r="M67" s="7" cm="1">
        <f t="array" ref="M67">hydp(L67,50)</f>
        <v>11.495960095291464</v>
      </c>
      <c r="N67" s="3"/>
      <c r="O67" s="3"/>
      <c r="P67" s="3"/>
      <c r="Q67" s="3"/>
      <c r="R67" s="3"/>
      <c r="S67" s="3"/>
      <c r="T67" s="3"/>
      <c r="U67" s="3"/>
      <c r="V67" s="3"/>
      <c r="W67" s="3"/>
    </row>
    <row r="68" spans="1:23" x14ac:dyDescent="0.25">
      <c r="A68" s="3"/>
      <c r="B68" s="3"/>
      <c r="C68" s="6">
        <v>285.34999999999997</v>
      </c>
      <c r="D68" s="6" cm="1">
        <f t="array" ref="D68">hydp(C68,33.5)</f>
        <v>10.832555346661664</v>
      </c>
      <c r="E68" s="7"/>
      <c r="F68" s="7">
        <v>285.34999999999997</v>
      </c>
      <c r="G68" s="7" cm="1">
        <f t="array" ref="G68">hydp(F68,0)</f>
        <v>9.2606967463741281</v>
      </c>
      <c r="H68" s="7"/>
      <c r="I68" s="7">
        <v>285.34999999999997</v>
      </c>
      <c r="J68" s="7" cm="1">
        <f t="array" ref="J68">hydp(I68,70)</f>
        <v>13.120681386648897</v>
      </c>
      <c r="K68" s="7"/>
      <c r="L68" s="7">
        <v>285.34999999999997</v>
      </c>
      <c r="M68" s="7" cm="1">
        <f t="array" ref="M68">hydp(L68,50)</f>
        <v>11.781095800008368</v>
      </c>
      <c r="N68" s="3"/>
      <c r="O68" s="3"/>
      <c r="P68" s="3"/>
      <c r="Q68" s="3"/>
      <c r="R68" s="3"/>
      <c r="S68" s="3"/>
      <c r="T68" s="3"/>
      <c r="U68" s="3"/>
      <c r="V68" s="3"/>
      <c r="W68" s="3"/>
    </row>
    <row r="69" spans="1:23" x14ac:dyDescent="0.25">
      <c r="A69" s="3"/>
      <c r="B69" s="3"/>
      <c r="C69" s="6">
        <v>285.54999999999995</v>
      </c>
      <c r="D69" s="6" cm="1">
        <f t="array" ref="D69">hydp(C69,33.5)</f>
        <v>11.094057634278576</v>
      </c>
      <c r="E69" s="7"/>
      <c r="F69" s="7">
        <v>285.54999999999995</v>
      </c>
      <c r="G69" s="7" cm="1">
        <f t="array" ref="G69">hydp(F69,0)</f>
        <v>9.4725620246943745</v>
      </c>
      <c r="H69" s="7"/>
      <c r="I69" s="7">
        <v>285.54999999999995</v>
      </c>
      <c r="J69" s="7" cm="1">
        <f t="array" ref="J69">hydp(I69,70)</f>
        <v>13.460640932182397</v>
      </c>
      <c r="K69" s="7"/>
      <c r="L69" s="7">
        <v>285.54999999999995</v>
      </c>
      <c r="M69" s="7" cm="1">
        <f t="array" ref="M69">hydp(L69,50)</f>
        <v>12.074320492189621</v>
      </c>
      <c r="N69" s="3"/>
      <c r="O69" s="3"/>
      <c r="P69" s="3"/>
      <c r="Q69" s="3"/>
      <c r="R69" s="3"/>
      <c r="S69" s="3"/>
      <c r="T69" s="3"/>
      <c r="U69" s="3"/>
      <c r="V69" s="3"/>
      <c r="W69" s="3"/>
    </row>
    <row r="70" spans="1:23" x14ac:dyDescent="0.25">
      <c r="A70" s="3"/>
      <c r="B70" s="3"/>
      <c r="C70" s="6">
        <v>285.75</v>
      </c>
      <c r="D70" s="6" cm="1">
        <f t="array" ref="D70">hydp(C70,33.5)</f>
        <v>11.362737267543334</v>
      </c>
      <c r="E70" s="7"/>
      <c r="F70" s="7">
        <v>285.75</v>
      </c>
      <c r="G70" s="7" cm="1">
        <f t="array" ref="G70">hydp(F70,0)</f>
        <v>9.6898493120339744</v>
      </c>
      <c r="H70" s="7"/>
      <c r="I70" s="7">
        <v>285.75</v>
      </c>
      <c r="J70" s="7" cm="1">
        <f t="array" ref="J70">hydp(I70,70)</f>
        <v>13.810621056680851</v>
      </c>
      <c r="K70" s="7"/>
      <c r="L70" s="7">
        <v>285.75</v>
      </c>
      <c r="M70" s="7" cm="1">
        <f t="array" ref="M70">hydp(L70,50)</f>
        <v>12.375860892019135</v>
      </c>
      <c r="N70" s="3"/>
      <c r="O70" s="3"/>
      <c r="P70" s="3"/>
      <c r="Q70" s="3"/>
      <c r="R70" s="3"/>
      <c r="S70" s="3"/>
      <c r="T70" s="3"/>
      <c r="U70" s="3"/>
      <c r="V70" s="3"/>
      <c r="W70" s="3"/>
    </row>
    <row r="71" spans="1:23" x14ac:dyDescent="0.25">
      <c r="A71" s="3"/>
      <c r="B71" s="3"/>
      <c r="C71" s="6">
        <v>285.95</v>
      </c>
      <c r="D71" s="6" cm="1">
        <f t="array" ref="D71">hydp(C71,33.5)</f>
        <v>11.638795402485552</v>
      </c>
      <c r="E71" s="7"/>
      <c r="F71" s="7">
        <v>285.95</v>
      </c>
      <c r="G71" s="7" cm="1">
        <f t="array" ref="G71">hydp(F71,0)</f>
        <v>9.9127069338575442</v>
      </c>
      <c r="H71" s="7"/>
      <c r="I71" s="7">
        <v>285.95</v>
      </c>
      <c r="J71" s="7" cm="1">
        <f t="array" ref="J71">hydp(I71,70)</f>
        <v>14.170895525022669</v>
      </c>
      <c r="K71" s="7"/>
      <c r="L71" s="7">
        <v>285.95</v>
      </c>
      <c r="M71" s="7" cm="1">
        <f t="array" ref="M71">hydp(L71,50)</f>
        <v>12.685948570486257</v>
      </c>
      <c r="N71" s="3"/>
      <c r="O71" s="3"/>
      <c r="P71" s="3"/>
      <c r="Q71" s="3"/>
      <c r="R71" s="3"/>
      <c r="S71" s="3"/>
      <c r="T71" s="3"/>
      <c r="U71" s="3"/>
      <c r="V71" s="3"/>
      <c r="W71" s="3"/>
    </row>
    <row r="72" spans="1:23" x14ac:dyDescent="0.25">
      <c r="A72" s="3"/>
      <c r="B72" s="3"/>
      <c r="C72" s="6">
        <v>286.14999999999998</v>
      </c>
      <c r="D72" s="6" cm="1">
        <f t="array" ref="D72">hydp(C72,33.5)</f>
        <v>11.922438161380358</v>
      </c>
      <c r="E72" s="7"/>
      <c r="F72" s="7">
        <v>286.14999999999998</v>
      </c>
      <c r="G72" s="7" cm="1">
        <f t="array" ref="G72">hydp(F72,0)</f>
        <v>10.141287485667419</v>
      </c>
      <c r="H72" s="7"/>
      <c r="I72" s="7">
        <v>286.14999999999998</v>
      </c>
      <c r="J72" s="7" cm="1">
        <f t="array" ref="J72">hydp(I72,70)</f>
        <v>14.54174206698549</v>
      </c>
      <c r="K72" s="7"/>
      <c r="L72" s="7">
        <v>286.14999999999998</v>
      </c>
      <c r="M72" s="7" cm="1">
        <f t="array" ref="M72">hydp(L72,50)</f>
        <v>13.004819918105815</v>
      </c>
      <c r="N72" s="3"/>
      <c r="O72" s="3"/>
      <c r="P72" s="3"/>
      <c r="Q72" s="3"/>
      <c r="R72" s="3"/>
      <c r="S72" s="3"/>
      <c r="T72" s="3"/>
      <c r="U72" s="3"/>
      <c r="V72" s="3"/>
      <c r="W72" s="3"/>
    </row>
    <row r="73" spans="1:23" x14ac:dyDescent="0.25">
      <c r="A73" s="3"/>
      <c r="B73" s="3"/>
      <c r="C73" s="6">
        <v>286.34999999999997</v>
      </c>
      <c r="D73" s="6" cm="1">
        <f t="array" ref="D73">hydp(C73,33.5)</f>
        <v>12.213876714055418</v>
      </c>
      <c r="E73" s="7"/>
      <c r="F73" s="7">
        <v>286.34999999999997</v>
      </c>
      <c r="G73" s="7" cm="1">
        <f t="array" ref="G73">hydp(F73,0)</f>
        <v>10.375747960915664</v>
      </c>
      <c r="H73" s="7"/>
      <c r="I73" s="7">
        <v>286.34999999999997</v>
      </c>
      <c r="J73" s="7" cm="1">
        <f t="array" ref="J73">hydp(I73,70)</f>
        <v>14.923442177033484</v>
      </c>
      <c r="K73" s="7"/>
      <c r="L73" s="7">
        <v>286.34999999999997</v>
      </c>
      <c r="M73" s="7" cm="1">
        <f t="array" ref="M73">hydp(L73,50)</f>
        <v>13.332716140306383</v>
      </c>
      <c r="N73" s="3"/>
      <c r="O73" s="3"/>
      <c r="P73" s="3"/>
      <c r="Q73" s="3"/>
      <c r="R73" s="3"/>
      <c r="S73" s="3"/>
      <c r="T73" s="3"/>
      <c r="U73" s="3"/>
      <c r="V73" s="3"/>
      <c r="W73" s="3"/>
    </row>
    <row r="74" spans="1:23" x14ac:dyDescent="0.25">
      <c r="A74" s="3"/>
      <c r="B74" s="3"/>
      <c r="C74" s="6">
        <v>286.54999999999995</v>
      </c>
      <c r="D74" s="6" cm="1">
        <f t="array" ref="D74">hydp(C74,33.5)</f>
        <v>12.513327344606129</v>
      </c>
      <c r="E74" s="7"/>
      <c r="F74" s="7">
        <v>286.54999999999995</v>
      </c>
      <c r="G74" s="7" cm="1">
        <f t="array" ref="G74">hydp(F74,0)</f>
        <v>10.616249882901711</v>
      </c>
      <c r="H74" s="7"/>
      <c r="I74" s="7">
        <v>286.54999999999995</v>
      </c>
      <c r="J74" s="7" cm="1">
        <f t="array" ref="J74">hydp(I74,70)</f>
        <v>15.31628084329223</v>
      </c>
      <c r="K74" s="7"/>
      <c r="L74" s="7">
        <v>286.54999999999995</v>
      </c>
      <c r="M74" s="7" cm="1">
        <f t="array" ref="M74">hydp(L74,50)</f>
        <v>13.669883218929412</v>
      </c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1:23" x14ac:dyDescent="0.25">
      <c r="A75" s="3"/>
      <c r="B75" s="3"/>
      <c r="C75" s="6">
        <v>286.75</v>
      </c>
      <c r="D75" s="6" cm="1">
        <f t="array" ref="D75">hydp(C75,33.5)</f>
        <v>12.82101152590006</v>
      </c>
      <c r="E75" s="7"/>
      <c r="F75" s="7">
        <v>286.75</v>
      </c>
      <c r="G75" s="7" cm="1">
        <f t="array" ref="G75">hydp(F75,0)</f>
        <v>10.862959440734834</v>
      </c>
      <c r="H75" s="7"/>
      <c r="I75" s="7">
        <v>286.75</v>
      </c>
      <c r="J75" s="7" cm="1">
        <f t="array" ref="J75">hydp(I75,70)</f>
        <v>15.720546283128987</v>
      </c>
      <c r="K75" s="7"/>
      <c r="L75" s="7">
        <v>286.75</v>
      </c>
      <c r="M75" s="7" cm="1">
        <f t="array" ref="M75">hydp(L75,50)</f>
        <v>14.016571882150259</v>
      </c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1:23" x14ac:dyDescent="0.25">
      <c r="A76" s="3"/>
      <c r="B76" s="3"/>
      <c r="C76" s="6">
        <v>286.95</v>
      </c>
      <c r="D76" s="6" cm="1">
        <f t="array" ref="D76">hydp(C76,33.5)</f>
        <v>13.137155981469924</v>
      </c>
      <c r="E76" s="7"/>
      <c r="F76" s="7">
        <v>286.95</v>
      </c>
      <c r="G76" s="7" cm="1">
        <f t="array" ref="G76">hydp(F76,0)</f>
        <v>11.116047629532263</v>
      </c>
      <c r="H76" s="7"/>
      <c r="I76" s="7">
        <v>286.95</v>
      </c>
      <c r="J76" s="7" cm="1">
        <f t="array" ref="J76">hydp(I76,70)</f>
        <v>16.136529613350206</v>
      </c>
      <c r="K76" s="7"/>
      <c r="L76" s="7">
        <v>286.95</v>
      </c>
      <c r="M76" s="7" cm="1">
        <f t="array" ref="M76">hydp(L76,50)</f>
        <v>14.373037543799297</v>
      </c>
      <c r="N76" s="3"/>
      <c r="O76" s="3"/>
      <c r="P76" s="3"/>
      <c r="Q76" s="3"/>
      <c r="R76" s="3"/>
      <c r="S76" s="3"/>
      <c r="T76" s="3"/>
      <c r="U76" s="3"/>
      <c r="V76" s="3"/>
      <c r="W76" s="3"/>
    </row>
    <row r="77" spans="1:23" x14ac:dyDescent="0.25">
      <c r="A77" s="3"/>
      <c r="B77" s="3"/>
      <c r="C77" s="6">
        <v>287.14999999999998</v>
      </c>
      <c r="D77" s="6" cm="1">
        <f t="array" ref="D77">hydp(C77,33.5)</f>
        <v>13.461992747642968</v>
      </c>
      <c r="E77" s="7"/>
      <c r="F77" s="7">
        <v>287.14999999999998</v>
      </c>
      <c r="G77" s="7" cm="1">
        <f t="array" ref="G77">hydp(F77,0)</f>
        <v>11.375690394961378</v>
      </c>
      <c r="H77" s="7"/>
      <c r="I77" s="7">
        <v>287.14999999999998</v>
      </c>
      <c r="J77" s="7" cm="1">
        <f t="array" ref="J77">hydp(I77,70)</f>
        <v>16.56452449925558</v>
      </c>
      <c r="K77" s="7"/>
      <c r="L77" s="7">
        <v>287.14999999999998</v>
      </c>
      <c r="M77" s="7" cm="1">
        <f t="array" ref="M77">hydp(L77,50)</f>
        <v>14.739540236289095</v>
      </c>
      <c r="N77" s="3"/>
      <c r="O77" s="3"/>
      <c r="P77" s="3"/>
      <c r="Q77" s="3"/>
      <c r="R77" s="3"/>
      <c r="S77" s="3"/>
      <c r="T77" s="3"/>
      <c r="U77" s="3"/>
      <c r="V77" s="3"/>
      <c r="W77" s="3"/>
    </row>
    <row r="78" spans="1:23" x14ac:dyDescent="0.25">
      <c r="A78" s="3"/>
      <c r="B78" s="3"/>
      <c r="C78" s="6">
        <v>287.34999999999997</v>
      </c>
      <c r="D78" s="6" cm="1">
        <f t="array" ref="D78">hydp(C78,33.5)</f>
        <v>13.795759232899051</v>
      </c>
      <c r="E78" s="7"/>
      <c r="F78" s="7">
        <v>287.34999999999997</v>
      </c>
      <c r="G78" s="7" cm="1">
        <f t="array" ref="G78">hydp(F78,0)</f>
        <v>11.642068782268657</v>
      </c>
      <c r="H78" s="7"/>
      <c r="I78" s="7">
        <v>287.34999999999997</v>
      </c>
      <c r="J78" s="7" cm="1">
        <f t="array" ref="J78">hydp(I78,70)</f>
        <v>17.004826771470675</v>
      </c>
      <c r="K78" s="7"/>
      <c r="L78" s="7">
        <v>287.34999999999997</v>
      </c>
      <c r="M78" s="7" cm="1">
        <f t="array" ref="M78">hydp(L78,50)</f>
        <v>15.116344531219619</v>
      </c>
      <c r="N78" s="3"/>
      <c r="O78" s="3"/>
      <c r="P78" s="3"/>
      <c r="Q78" s="3"/>
      <c r="R78" s="3"/>
      <c r="S78" s="3"/>
      <c r="T78" s="3"/>
      <c r="U78" s="3"/>
      <c r="V78" s="3"/>
      <c r="W78" s="3"/>
    </row>
    <row r="79" spans="1:23" x14ac:dyDescent="0.25">
      <c r="A79" s="3"/>
      <c r="B79" s="3"/>
      <c r="C79" s="6">
        <v>287.54999999999995</v>
      </c>
      <c r="D79" s="6" cm="1">
        <f t="array" ref="D79">hydp(C79,33.5)</f>
        <v>14.13869827747749</v>
      </c>
      <c r="E79" s="7"/>
      <c r="F79" s="7">
        <v>287.54999999999995</v>
      </c>
      <c r="G79" s="7" cm="1">
        <f t="array" ref="G79">hydp(F79,0)</f>
        <v>11.915369089932854</v>
      </c>
      <c r="H79" s="7"/>
      <c r="I79" s="7">
        <v>287.54999999999995</v>
      </c>
      <c r="J79" s="7" cm="1">
        <f t="array" ref="J79">hydp(I79,70)</f>
        <v>17.457734020718039</v>
      </c>
      <c r="K79" s="7"/>
      <c r="L79" s="7">
        <v>287.54999999999995</v>
      </c>
      <c r="M79" s="7" cm="1">
        <f t="array" ref="M79">hydp(L79,50)</f>
        <v>15.503719453231223</v>
      </c>
      <c r="N79" s="3"/>
      <c r="O79" s="3"/>
      <c r="P79" s="3"/>
      <c r="Q79" s="3"/>
      <c r="R79" s="3"/>
      <c r="S79" s="3"/>
      <c r="T79" s="3"/>
      <c r="U79" s="3"/>
      <c r="V79" s="3"/>
      <c r="W79" s="3"/>
    </row>
    <row r="80" spans="1:23" x14ac:dyDescent="0.25">
      <c r="A80" s="3"/>
      <c r="B80" s="3"/>
      <c r="C80" s="6">
        <v>287.75</v>
      </c>
      <c r="D80" s="6" cm="1">
        <f t="array" ref="D80">hydp(C80,33.5)</f>
        <v>14.491058195071851</v>
      </c>
      <c r="E80" s="7"/>
      <c r="F80" s="7">
        <v>287.75</v>
      </c>
      <c r="G80" s="7" cm="1">
        <f t="array" ref="G80">hydp(F80,0)</f>
        <v>12.195783028126028</v>
      </c>
      <c r="H80" s="7"/>
      <c r="I80" s="7">
        <v>287.75</v>
      </c>
      <c r="J80" s="7" cm="1">
        <f t="array" ref="J80">hydp(I80,70)</f>
        <v>17.923545105803854</v>
      </c>
      <c r="K80" s="7"/>
      <c r="L80" s="7">
        <v>287.75</v>
      </c>
      <c r="M80" s="7" cm="1">
        <f t="array" ref="M80">hydp(L80,50)</f>
        <v>15.901938352189555</v>
      </c>
      <c r="N80" s="3"/>
      <c r="O80" s="3"/>
      <c r="P80" s="3"/>
      <c r="Q80" s="3"/>
      <c r="R80" s="3"/>
      <c r="S80" s="3"/>
      <c r="T80" s="3"/>
      <c r="U80" s="3"/>
      <c r="V80" s="3"/>
      <c r="W80" s="3"/>
    </row>
    <row r="81" spans="1:23" x14ac:dyDescent="0.25">
      <c r="A81" s="3"/>
      <c r="B81" s="3"/>
      <c r="C81" s="6">
        <v>287.95</v>
      </c>
      <c r="D81" s="6" cm="1">
        <f t="array" ref="D81">hydp(C81,33.5)</f>
        <v>14.85309282257238</v>
      </c>
      <c r="E81" s="7"/>
      <c r="F81" s="7">
        <v>287.95</v>
      </c>
      <c r="G81" s="7" cm="1">
        <f t="array" ref="G81">hydp(F81,0)</f>
        <v>12.483507882081101</v>
      </c>
      <c r="H81" s="7"/>
      <c r="I81" s="7">
        <v>287.95</v>
      </c>
      <c r="J81" s="7" cm="1">
        <f t="array" ref="J81">hydp(I81,70)</f>
        <v>18.402559665923619</v>
      </c>
      <c r="K81" s="7"/>
      <c r="L81" s="7">
        <v>287.95</v>
      </c>
      <c r="M81" s="7" cm="1">
        <f t="array" ref="M81">hydp(L81,50)</f>
        <v>16.311278783062178</v>
      </c>
      <c r="N81" s="3"/>
      <c r="O81" s="3"/>
      <c r="P81" s="3"/>
      <c r="Q81" s="3"/>
      <c r="R81" s="3"/>
      <c r="S81" s="3"/>
      <c r="T81" s="3"/>
      <c r="U81" s="3"/>
      <c r="V81" s="3"/>
      <c r="W81" s="3"/>
    </row>
    <row r="82" spans="1:23" x14ac:dyDescent="0.25">
      <c r="A82" s="3"/>
      <c r="B82" s="3"/>
      <c r="C82" s="6">
        <v>288.14999999999998</v>
      </c>
      <c r="D82" s="6" cm="1">
        <f t="array" ref="D82">hydp(C82,33.5)</f>
        <v>15.225061561013268</v>
      </c>
      <c r="E82" s="7"/>
      <c r="F82" s="7">
        <v>288.14999999999998</v>
      </c>
      <c r="G82" s="7" cm="1">
        <f t="array" ref="G82">hydp(F82,0)</f>
        <v>12.778746680558305</v>
      </c>
      <c r="H82" s="7"/>
      <c r="I82" s="7">
        <v>288.14999999999998</v>
      </c>
      <c r="J82" s="7" cm="1">
        <f t="array" ref="J82">hydp(I82,70)</f>
        <v>18.89507757752623</v>
      </c>
      <c r="K82" s="7"/>
      <c r="L82" s="7">
        <v>288.14999999999998</v>
      </c>
      <c r="M82" s="7" cm="1">
        <f t="array" ref="M82">hydp(L82,50)</f>
        <v>16.732022361147784</v>
      </c>
      <c r="N82" s="3"/>
      <c r="O82" s="3"/>
      <c r="P82" s="3"/>
      <c r="Q82" s="3"/>
      <c r="R82" s="3"/>
      <c r="S82" s="3"/>
      <c r="T82" s="3"/>
      <c r="U82" s="3"/>
      <c r="V82" s="3"/>
      <c r="W82" s="3"/>
    </row>
    <row r="83" spans="1:23" x14ac:dyDescent="0.25">
      <c r="A83" s="3"/>
      <c r="B83" s="3"/>
      <c r="C83" s="6">
        <v>288.34999999999997</v>
      </c>
      <c r="D83" s="6" cm="1">
        <f t="array" ref="D83">hydp(C83,33.5)</f>
        <v>15.607229408941421</v>
      </c>
      <c r="E83" s="7"/>
      <c r="F83" s="7">
        <v>288.34999999999997</v>
      </c>
      <c r="G83" s="7" cm="1">
        <f t="array" ref="G83">hydp(F83,0)</f>
        <v>13.081708369568378</v>
      </c>
      <c r="H83" s="7"/>
      <c r="I83" s="7">
        <v>288.34999999999997</v>
      </c>
      <c r="J83" s="7" cm="1">
        <f t="array" ref="J83">hydp(I83,70)</f>
        <v>19.40139835955512</v>
      </c>
      <c r="K83" s="7"/>
      <c r="L83" s="7">
        <v>288.34999999999997</v>
      </c>
      <c r="M83" s="7" cm="1">
        <f t="array" ref="M83">hydp(L83,50)</f>
        <v>17.164454594761263</v>
      </c>
      <c r="N83" s="3"/>
      <c r="O83" s="3"/>
      <c r="P83" s="3"/>
      <c r="Q83" s="3"/>
      <c r="R83" s="3"/>
      <c r="S83" s="3"/>
      <c r="T83" s="3"/>
      <c r="U83" s="3"/>
      <c r="V83" s="3"/>
      <c r="W83" s="3"/>
    </row>
    <row r="84" spans="1:23" x14ac:dyDescent="0.25">
      <c r="A84" s="3"/>
      <c r="B84" s="3"/>
      <c r="C84" s="6">
        <v>288.54999999999995</v>
      </c>
      <c r="D84" s="6" cm="1">
        <f t="array" ref="D84">hydp(C84,33.5)</f>
        <v>15.999866983266314</v>
      </c>
      <c r="E84" s="7"/>
      <c r="F84" s="7">
        <v>288.54999999999995</v>
      </c>
      <c r="G84" s="7" cm="1">
        <f t="array" ref="G84">hydp(F84,0)</f>
        <v>13.392607991530765</v>
      </c>
      <c r="H84" s="7"/>
      <c r="I84" s="7">
        <v>288.54999999999995</v>
      </c>
      <c r="J84" s="7" cm="1">
        <f t="array" ref="J84">hydp(I84,70)</f>
        <v>19.921820509112706</v>
      </c>
      <c r="K84" s="7"/>
      <c r="L84" s="7">
        <v>288.54999999999995</v>
      </c>
      <c r="M84" s="7" cm="1">
        <f t="array" ref="M84">hydp(L84,50)</f>
        <v>17.608864685702461</v>
      </c>
      <c r="N84" s="3"/>
      <c r="O84" s="3"/>
      <c r="P84" s="3"/>
      <c r="Q84" s="3"/>
      <c r="R84" s="3"/>
      <c r="S84" s="3"/>
      <c r="T84" s="3"/>
      <c r="U84" s="3"/>
      <c r="V84" s="3"/>
      <c r="W84" s="3"/>
    </row>
    <row r="85" spans="1:23" x14ac:dyDescent="0.25">
      <c r="A85" s="3"/>
      <c r="B85" s="3"/>
      <c r="C85" s="6">
        <v>288.75</v>
      </c>
      <c r="D85" s="6" cm="1">
        <f t="array" ref="D85">hydp(C85,33.5)</f>
        <v>16.403250554602533</v>
      </c>
      <c r="E85" s="7"/>
      <c r="F85" s="7">
        <v>288.75</v>
      </c>
      <c r="G85" s="7" cm="1">
        <f t="array" ref="G85">hydp(F85,0)</f>
        <v>13.711666869984848</v>
      </c>
      <c r="H85" s="7"/>
      <c r="I85" s="7">
        <v>288.75</v>
      </c>
      <c r="J85" s="7" cm="1">
        <f t="array" ref="J85">hydp(I85,70)</f>
        <v>20.456640863604381</v>
      </c>
      <c r="K85" s="7"/>
      <c r="L85" s="7">
        <v>288.75</v>
      </c>
      <c r="M85" s="7" cm="1">
        <f t="array" ref="M85">hydp(L85,50)</f>
        <v>18.065545349134236</v>
      </c>
      <c r="N85" s="3"/>
      <c r="O85" s="3"/>
      <c r="P85" s="3"/>
      <c r="Q85" s="3"/>
      <c r="R85" s="3"/>
      <c r="S85" s="3"/>
      <c r="T85" s="3"/>
      <c r="U85" s="3"/>
      <c r="V85" s="3"/>
      <c r="W85" s="3"/>
    </row>
    <row r="86" spans="1:23" x14ac:dyDescent="0.25">
      <c r="A86" s="3"/>
      <c r="B86" s="3"/>
      <c r="C86" s="6">
        <v>288.95</v>
      </c>
      <c r="D86" s="6" cm="1">
        <f t="array" ref="D86">hydp(C86,33.5)</f>
        <v>16.817662042842738</v>
      </c>
      <c r="E86" s="7"/>
      <c r="F86" s="7">
        <v>288.95</v>
      </c>
      <c r="G86" s="7" cm="1">
        <f t="array" ref="G86">hydp(F86,0)</f>
        <v>14.039112800141394</v>
      </c>
      <c r="H86" s="7"/>
      <c r="I86" s="7">
        <v>288.95</v>
      </c>
      <c r="J86" s="7" cm="1">
        <f t="array" ref="J86">hydp(I86,70)</f>
        <v>21.006153795985572</v>
      </c>
      <c r="K86" s="7"/>
      <c r="L86" s="7">
        <v>288.95</v>
      </c>
      <c r="M86" s="7" cm="1">
        <f t="array" ref="M86">hydp(L86,50)</f>
        <v>18.534792548675359</v>
      </c>
      <c r="N86" s="3"/>
      <c r="O86" s="3"/>
      <c r="P86" s="3"/>
      <c r="Q86" s="3"/>
      <c r="R86" s="3"/>
      <c r="S86" s="3"/>
      <c r="T86" s="3"/>
      <c r="U86" s="3"/>
      <c r="V86" s="3"/>
      <c r="W86" s="3"/>
    </row>
    <row r="87" spans="1:23" x14ac:dyDescent="0.25">
      <c r="A87" s="3"/>
      <c r="B87" s="3"/>
      <c r="C87" s="6">
        <v>289.14999999999998</v>
      </c>
      <c r="D87" s="6" cm="1">
        <f t="array" ref="D87">hydp(C87,33.5)</f>
        <v>17.24338903934278</v>
      </c>
      <c r="E87" s="7"/>
      <c r="F87" s="7">
        <v>289.14999999999998</v>
      </c>
      <c r="G87" s="7" cm="1">
        <f t="array" ref="G87">hydp(F87,0)</f>
        <v>14.375180245325968</v>
      </c>
      <c r="H87" s="7"/>
      <c r="I87" s="7">
        <v>289.14999999999998</v>
      </c>
      <c r="J87" s="7" cm="1">
        <f t="array" ref="J87">hydp(I87,70)</f>
        <v>21.570650479770741</v>
      </c>
      <c r="K87" s="7"/>
      <c r="L87" s="7">
        <v>289.14999999999998</v>
      </c>
      <c r="M87" s="7" cm="1">
        <f t="array" ref="M87">hydp(L87,50)</f>
        <v>19.016905273885051</v>
      </c>
      <c r="N87" s="3"/>
      <c r="O87" s="3"/>
      <c r="P87" s="3"/>
      <c r="Q87" s="3"/>
      <c r="R87" s="3"/>
      <c r="S87" s="3"/>
      <c r="T87" s="3"/>
      <c r="U87" s="3"/>
      <c r="V87" s="3"/>
      <c r="W87" s="3"/>
    </row>
    <row r="88" spans="1:23" x14ac:dyDescent="0.25">
      <c r="A88" s="3"/>
      <c r="B88" s="3"/>
      <c r="C88" s="6">
        <v>289.34999999999997</v>
      </c>
      <c r="D88" s="6" cm="1">
        <f t="array" ref="D88">hydp(C88,33.5)</f>
        <v>17.680724791791757</v>
      </c>
      <c r="E88" s="7"/>
      <c r="F88" s="7">
        <v>289.34999999999997</v>
      </c>
      <c r="G88" s="7" cm="1">
        <f t="array" ref="G88">hydp(F88,0)</f>
        <v>14.720110539631648</v>
      </c>
      <c r="H88" s="7"/>
      <c r="I88" s="7">
        <v>289.34999999999997</v>
      </c>
      <c r="J88" s="7" cm="1">
        <f t="array" ref="J88">hydp(I88,70)</f>
        <v>22.150417995869354</v>
      </c>
      <c r="K88" s="7"/>
      <c r="L88" s="7">
        <v>289.34999999999997</v>
      </c>
      <c r="M88" s="7" cm="1">
        <f t="array" ref="M88">hydp(L88,50)</f>
        <v>19.512185237359386</v>
      </c>
      <c r="N88" s="3"/>
      <c r="O88" s="3"/>
      <c r="P88" s="3"/>
      <c r="Q88" s="3"/>
      <c r="R88" s="3"/>
      <c r="S88" s="3"/>
      <c r="T88" s="3"/>
      <c r="U88" s="3"/>
      <c r="V88" s="3"/>
      <c r="W88" s="3"/>
    </row>
    <row r="89" spans="1:23" x14ac:dyDescent="0.25">
      <c r="A89" s="3"/>
      <c r="B89" s="3"/>
      <c r="C89" s="6">
        <v>289.54999999999995</v>
      </c>
      <c r="D89" s="6" cm="1">
        <f t="array" ref="D89">hydp(C89,33.5)</f>
        <v>18.129968197640725</v>
      </c>
      <c r="E89" s="7"/>
      <c r="F89" s="7">
        <v>289.54999999999995</v>
      </c>
      <c r="G89" s="7" cm="1">
        <f t="array" ref="G89">hydp(F89,0)</f>
        <v>15.074152096886248</v>
      </c>
      <c r="H89" s="7"/>
      <c r="I89" s="7">
        <v>289.54999999999995</v>
      </c>
      <c r="J89" s="7" cm="1">
        <f t="array" ref="J89">hydp(I89,70)</f>
        <v>22.745738445397656</v>
      </c>
      <c r="K89" s="7"/>
      <c r="L89" s="7">
        <v>289.54999999999995</v>
      </c>
      <c r="M89" s="7" cm="1">
        <f t="array" ref="M89">hydp(L89,50)</f>
        <v>20.020936579401884</v>
      </c>
      <c r="N89" s="3"/>
      <c r="O89" s="3"/>
      <c r="P89" s="3"/>
      <c r="Q89" s="3"/>
      <c r="R89" s="3"/>
      <c r="S89" s="3"/>
      <c r="T89" s="3"/>
      <c r="U89" s="3"/>
      <c r="V89" s="3"/>
      <c r="W89" s="3"/>
    </row>
    <row r="90" spans="1:23" x14ac:dyDescent="0.25">
      <c r="A90" s="3"/>
      <c r="B90" s="3"/>
      <c r="C90" s="6">
        <v>289.75</v>
      </c>
      <c r="D90" s="6" cm="1">
        <f t="array" ref="D90">hydp(C90,33.5)</f>
        <v>18.591423781410345</v>
      </c>
      <c r="E90" s="7"/>
      <c r="F90" s="7">
        <v>289.75</v>
      </c>
      <c r="G90" s="7" cm="1">
        <f t="array" ref="G90">hydp(F90,0)</f>
        <v>15.437560626186356</v>
      </c>
      <c r="H90" s="7"/>
      <c r="I90" s="7">
        <v>289.75</v>
      </c>
      <c r="J90" s="7" cm="1">
        <f t="array" ref="J90">hydp(I90,70)</f>
        <v>23.356887980770814</v>
      </c>
      <c r="K90" s="7"/>
      <c r="L90" s="7">
        <v>289.75</v>
      </c>
      <c r="M90" s="7" cm="1">
        <f t="array" ref="M90">hydp(L90,50)</f>
        <v>20.543465532816015</v>
      </c>
      <c r="N90" s="3"/>
      <c r="O90" s="3"/>
      <c r="P90" s="3"/>
      <c r="Q90" s="3"/>
      <c r="R90" s="3"/>
      <c r="S90" s="3"/>
      <c r="T90" s="3"/>
      <c r="U90" s="3"/>
      <c r="V90" s="3"/>
      <c r="W90" s="3"/>
    </row>
    <row r="91" spans="1:23" x14ac:dyDescent="0.25">
      <c r="A91" s="3"/>
      <c r="B91" s="3"/>
      <c r="C91" s="6">
        <v>289.95</v>
      </c>
      <c r="D91" s="6" cm="1">
        <f t="array" ref="D91">hydp(C91,33.5)</f>
        <v>19.06540165937783</v>
      </c>
      <c r="E91" s="7"/>
      <c r="F91" s="7">
        <v>289.95</v>
      </c>
      <c r="G91" s="7" cm="1">
        <f t="array" ref="G91">hydp(F91,0)</f>
        <v>15.810599354200138</v>
      </c>
      <c r="H91" s="7"/>
      <c r="I91" s="7">
        <v>289.95</v>
      </c>
      <c r="J91" s="7" cm="1">
        <f t="array" ref="J91">hydp(I91,70)</f>
        <v>23.984135768165302</v>
      </c>
      <c r="K91" s="7"/>
      <c r="L91" s="7">
        <v>289.95</v>
      </c>
      <c r="M91" s="7" cm="1">
        <f t="array" ref="M91">hydp(L91,50)</f>
        <v>21.080080054481687</v>
      </c>
      <c r="N91" s="3"/>
      <c r="O91" s="3"/>
      <c r="P91" s="3"/>
      <c r="Q91" s="3"/>
      <c r="R91" s="3"/>
      <c r="S91" s="3"/>
      <c r="T91" s="3"/>
      <c r="U91" s="3"/>
      <c r="V91" s="3"/>
      <c r="W91" s="3"/>
    </row>
    <row r="92" spans="1:23" x14ac:dyDescent="0.25">
      <c r="A92" s="3"/>
      <c r="B92" s="3"/>
      <c r="C92" s="6">
        <v>290.14999999999998</v>
      </c>
      <c r="D92" s="6" cm="1">
        <f t="array" ref="D92">hydp(C92,33.5)</f>
        <v>19.552217502604339</v>
      </c>
      <c r="E92" s="7"/>
      <c r="F92" s="7">
        <v>290.14999999999998</v>
      </c>
      <c r="G92" s="7" cm="1">
        <f t="array" ref="G92">hydp(F92,0)</f>
        <v>16.193539254434842</v>
      </c>
      <c r="H92" s="7"/>
      <c r="I92" s="7">
        <v>290.14999999999998</v>
      </c>
      <c r="J92" s="7" cm="1">
        <f t="array" ref="J92">hydp(I92,70)</f>
        <v>24.627742921729968</v>
      </c>
      <c r="K92" s="7"/>
      <c r="L92" s="7">
        <v>290.14999999999998</v>
      </c>
      <c r="M92" s="7" cm="1">
        <f t="array" ref="M92">hydp(L92,50)</f>
        <v>21.631089444837333</v>
      </c>
      <c r="N92" s="3"/>
      <c r="O92" s="3"/>
      <c r="P92" s="3"/>
      <c r="Q92" s="3"/>
      <c r="R92" s="3"/>
      <c r="S92" s="3"/>
      <c r="T92" s="3"/>
      <c r="U92" s="3"/>
      <c r="V92" s="3"/>
      <c r="W92" s="3"/>
    </row>
    <row r="93" spans="1:23" x14ac:dyDescent="0.25">
      <c r="A93" s="3"/>
      <c r="B93" s="3"/>
      <c r="C93" s="6">
        <v>290.34999999999997</v>
      </c>
      <c r="D93" s="6" cm="1">
        <f t="array" ref="D93">hydp(C93,33.5)</f>
        <v>20.052192475067017</v>
      </c>
      <c r="E93" s="7"/>
      <c r="F93" s="7">
        <v>290.34999999999997</v>
      </c>
      <c r="G93" s="7" cm="1">
        <f t="array" ref="G93">hydp(F93,0)</f>
        <v>16.586659283737088</v>
      </c>
      <c r="H93" s="7"/>
      <c r="I93" s="7">
        <v>290.34999999999997</v>
      </c>
      <c r="J93" s="7" cm="1">
        <f t="array" ref="J93">hydp(I93,70)</f>
        <v>25.287961327031134</v>
      </c>
      <c r="K93" s="7"/>
      <c r="L93" s="7">
        <v>290.34999999999997</v>
      </c>
      <c r="M93" s="7" cm="1">
        <f t="array" ref="M93">hydp(L93,50)</f>
        <v>22.196803910547498</v>
      </c>
      <c r="N93" s="3"/>
      <c r="O93" s="3"/>
      <c r="P93" s="3"/>
      <c r="Q93" s="3"/>
      <c r="R93" s="3"/>
      <c r="S93" s="3"/>
      <c r="T93" s="3"/>
      <c r="U93" s="3"/>
      <c r="V93" s="3"/>
      <c r="W93" s="3"/>
    </row>
    <row r="94" spans="1:23" x14ac:dyDescent="0.25">
      <c r="A94" s="3"/>
      <c r="B94" s="3"/>
      <c r="C94" s="6">
        <v>290.54999999999995</v>
      </c>
      <c r="D94" s="6" cm="1">
        <f t="array" ref="D94">hydp(C94,33.5)</f>
        <v>20.565653170416812</v>
      </c>
      <c r="E94" s="7"/>
      <c r="F94" s="7">
        <v>290.54999999999995</v>
      </c>
      <c r="G94" s="7" cm="1">
        <f t="array" ref="G94">hydp(F94,0)</f>
        <v>16.990246626211423</v>
      </c>
      <c r="H94" s="7"/>
      <c r="I94" s="7">
        <v>290.54999999999995</v>
      </c>
      <c r="J94" s="7" cm="1">
        <f t="array" ref="J94">hydp(I94,70)</f>
        <v>25.965032439785066</v>
      </c>
      <c r="K94" s="7"/>
      <c r="L94" s="7">
        <v>290.54999999999995</v>
      </c>
      <c r="M94" s="7" cm="1">
        <f t="array" ref="M94">hydp(L94,50)</f>
        <v>22.777534115751095</v>
      </c>
      <c r="N94" s="3"/>
      <c r="O94" s="3"/>
      <c r="P94" s="3"/>
      <c r="Q94" s="3"/>
      <c r="R94" s="3"/>
      <c r="S94" s="3"/>
      <c r="T94" s="3"/>
      <c r="U94" s="3"/>
      <c r="V94" s="3"/>
      <c r="W94" s="3"/>
    </row>
    <row r="95" spans="1:23" x14ac:dyDescent="0.25">
      <c r="A95" s="3"/>
      <c r="B95" s="3"/>
      <c r="C95" s="6">
        <v>290.75</v>
      </c>
      <c r="D95" s="6" cm="1">
        <f t="array" ref="D95">hydp(C95,33.5)</f>
        <v>21.092931525843522</v>
      </c>
      <c r="E95" s="7"/>
      <c r="F95" s="7">
        <v>290.75</v>
      </c>
      <c r="G95" s="7" cm="1">
        <f t="array" ref="G95">hydp(F95,0)</f>
        <v>17.404596944837948</v>
      </c>
      <c r="H95" s="7"/>
      <c r="I95" s="7">
        <v>290.75</v>
      </c>
      <c r="J95" s="7" cm="1">
        <f t="array" ref="J95">hydp(I95,70)</f>
        <v>26.659185983930524</v>
      </c>
      <c r="K95" s="7"/>
      <c r="L95" s="7">
        <v>290.75</v>
      </c>
      <c r="M95" s="7" cm="1">
        <f t="array" ref="M95">hydp(L95,50)</f>
        <v>23.3735906805335</v>
      </c>
      <c r="N95" s="3"/>
      <c r="O95" s="3"/>
      <c r="P95" s="3"/>
      <c r="Q95" s="3"/>
      <c r="R95" s="3"/>
      <c r="S95" s="3"/>
      <c r="T95" s="3"/>
      <c r="U95" s="3"/>
      <c r="V95" s="3"/>
      <c r="W95" s="3"/>
    </row>
    <row r="96" spans="1:23" x14ac:dyDescent="0.25">
      <c r="A96" s="3"/>
      <c r="B96" s="3"/>
      <c r="C96" s="6">
        <v>290.95</v>
      </c>
      <c r="D96" s="6" cm="1">
        <f t="array" ref="D96">hydp(C96,33.5)</f>
        <v>21.63436473350389</v>
      </c>
      <c r="E96" s="7"/>
      <c r="F96" s="7">
        <v>290.95</v>
      </c>
      <c r="G96" s="7" cm="1">
        <f t="array" ref="G96">hydp(F96,0)</f>
        <v>17.830014640994236</v>
      </c>
      <c r="H96" s="7"/>
      <c r="I96" s="7">
        <v>290.95</v>
      </c>
      <c r="J96" s="7" cm="1">
        <f t="array" ref="J96">hydp(I96,70)</f>
        <v>27.370638624918097</v>
      </c>
      <c r="K96" s="7"/>
      <c r="L96" s="7">
        <v>290.95</v>
      </c>
      <c r="M96" s="7" cm="1">
        <f t="array" ref="M96">hydp(L96,50)</f>
        <v>23.985283666286623</v>
      </c>
      <c r="N96" s="3"/>
      <c r="O96" s="3"/>
      <c r="P96" s="3"/>
      <c r="Q96" s="3"/>
      <c r="R96" s="3"/>
      <c r="S96" s="3"/>
      <c r="T96" s="3"/>
      <c r="U96" s="3"/>
      <c r="V96" s="3"/>
      <c r="W96" s="3"/>
    </row>
    <row r="97" spans="1:23" x14ac:dyDescent="0.25">
      <c r="A97" s="3"/>
      <c r="B97" s="3"/>
      <c r="C97" s="6">
        <v>291.14999999999998</v>
      </c>
      <c r="D97" s="6" cm="1">
        <f t="array" ref="D97">hydp(C97,33.5)</f>
        <v>22.190295125523676</v>
      </c>
      <c r="E97" s="7"/>
      <c r="F97" s="7">
        <v>291.14999999999998</v>
      </c>
      <c r="G97" s="7" cm="1">
        <f t="array" ref="G97">hydp(F97,0)</f>
        <v>18.266813122185539</v>
      </c>
      <c r="H97" s="7"/>
      <c r="I97" s="7">
        <v>291.14999999999998</v>
      </c>
      <c r="J97" s="7" cm="1">
        <f t="array" ref="J97">hydp(I97,70)</f>
        <v>28.099592533704254</v>
      </c>
      <c r="K97" s="7"/>
      <c r="L97" s="7">
        <v>291.14999999999998</v>
      </c>
      <c r="M97" s="7" cm="1">
        <f t="array" ref="M97">hydp(L97,50)</f>
        <v>24.612922001877298</v>
      </c>
      <c r="N97" s="3"/>
      <c r="O97" s="3"/>
      <c r="P97" s="3"/>
      <c r="Q97" s="3"/>
      <c r="R97" s="3"/>
      <c r="S97" s="3"/>
      <c r="T97" s="3"/>
      <c r="U97" s="3"/>
      <c r="V97" s="3"/>
      <c r="W97" s="3"/>
    </row>
    <row r="98" spans="1:23" x14ac:dyDescent="0.25">
      <c r="A98" s="3"/>
      <c r="B98" s="3"/>
      <c r="C98" s="6">
        <v>291.34999999999997</v>
      </c>
      <c r="D98" s="6" cm="1">
        <f t="array" ref="D98">hydp(C98,33.5)</f>
        <v>22.761070050896191</v>
      </c>
      <c r="E98" s="7"/>
      <c r="F98" s="7">
        <v>291.34999999999997</v>
      </c>
      <c r="G98" s="7" cm="1">
        <f t="array" ref="G98">hydp(F98,0)</f>
        <v>18.715315078207254</v>
      </c>
      <c r="H98" s="7"/>
      <c r="I98" s="7">
        <v>291.34999999999997</v>
      </c>
      <c r="J98" s="7" cm="1">
        <f t="array" ref="J98">hydp(I98,70)</f>
        <v>28.846233910385479</v>
      </c>
      <c r="K98" s="7"/>
      <c r="L98" s="7">
        <v>291.34999999999997</v>
      </c>
      <c r="M98" s="7" cm="1">
        <f t="array" ref="M98">hydp(L98,50)</f>
        <v>25.256812886318258</v>
      </c>
      <c r="N98" s="3"/>
      <c r="O98" s="3"/>
      <c r="P98" s="3"/>
      <c r="Q98" s="3"/>
      <c r="R98" s="3"/>
      <c r="S98" s="3"/>
      <c r="T98" s="3"/>
      <c r="U98" s="3"/>
      <c r="V98" s="3"/>
      <c r="W98" s="3"/>
    </row>
    <row r="99" spans="1:23" x14ac:dyDescent="0.25">
      <c r="A99" s="3"/>
      <c r="B99" s="3"/>
      <c r="C99" s="6">
        <v>291.54999999999995</v>
      </c>
      <c r="D99" s="6" cm="1">
        <f t="array" ref="D99">hydp(C99,33.5)</f>
        <v>23.347041729600775</v>
      </c>
      <c r="E99" s="7"/>
      <c r="F99" s="7">
        <v>291.54999999999995</v>
      </c>
      <c r="G99" s="7" cm="1">
        <f t="array" ref="G99">hydp(F99,0)</f>
        <v>19.175852766042411</v>
      </c>
      <c r="H99" s="7"/>
      <c r="I99" s="7">
        <v>291.54999999999995</v>
      </c>
      <c r="J99" s="7" cm="1">
        <f t="array" ref="J99">hydp(I99,70)</f>
        <v>29.610731417279723</v>
      </c>
      <c r="K99" s="7"/>
      <c r="L99" s="7">
        <v>291.54999999999995</v>
      </c>
      <c r="M99" s="7" cm="1">
        <f t="array" ref="M99">hydp(L99,50)</f>
        <v>25.917261139952437</v>
      </c>
      <c r="N99" s="3"/>
      <c r="O99" s="3"/>
      <c r="P99" s="3"/>
      <c r="Q99" s="3"/>
      <c r="R99" s="3"/>
      <c r="S99" s="3"/>
      <c r="T99" s="3"/>
      <c r="U99" s="3"/>
      <c r="V99" s="3"/>
      <c r="W99" s="3"/>
    </row>
    <row r="100" spans="1:23" x14ac:dyDescent="0.25">
      <c r="A100" s="3"/>
      <c r="B100" s="3"/>
      <c r="C100" s="6">
        <v>291.75</v>
      </c>
      <c r="D100" s="6" cm="1">
        <f t="array" ref="D100">hydp(C100,33.5)</f>
        <v>23.948567102694199</v>
      </c>
      <c r="E100" s="7"/>
      <c r="F100" s="7">
        <v>291.75</v>
      </c>
      <c r="G100" s="7" cm="1">
        <f t="array" ref="G100">hydp(F100,0)</f>
        <v>19.648768303736915</v>
      </c>
      <c r="H100" s="7"/>
      <c r="I100" s="7">
        <v>291.75</v>
      </c>
      <c r="J100" s="7" cm="1">
        <f t="array" ref="J100">hydp(I100,70)</f>
        <v>30.393234592966063</v>
      </c>
      <c r="K100" s="7"/>
      <c r="L100" s="7">
        <v>291.75</v>
      </c>
      <c r="M100" s="7" cm="1">
        <f t="array" ref="M100">hydp(L100,50)</f>
        <v>26.594568540884804</v>
      </c>
      <c r="N100" s="3"/>
      <c r="O100" s="3"/>
      <c r="P100" s="3"/>
      <c r="Q100" s="3"/>
      <c r="R100" s="3"/>
      <c r="S100" s="3"/>
      <c r="T100" s="3"/>
      <c r="U100" s="3"/>
      <c r="V100" s="3"/>
      <c r="W100" s="3"/>
    </row>
    <row r="101" spans="1:23" x14ac:dyDescent="0.25">
      <c r="A101" s="3"/>
      <c r="B101" s="3"/>
      <c r="C101" s="6">
        <v>291.95</v>
      </c>
      <c r="D101" s="6" cm="1">
        <f t="array" ref="D101">hydp(C101,33.5)</f>
        <v>24.566007636596723</v>
      </c>
      <c r="E101" s="7"/>
      <c r="F101" s="7">
        <v>291.95</v>
      </c>
      <c r="G101" s="7" cm="1">
        <f t="array" ref="G101">hydp(F101,0)</f>
        <v>20.134413973624415</v>
      </c>
      <c r="H101" s="7"/>
      <c r="I101" s="7">
        <v>291.95</v>
      </c>
      <c r="J101" s="7" cm="1">
        <f t="array" ref="J101">hydp(I101,70)</f>
        <v>31.193872099333255</v>
      </c>
      <c r="K101" s="7"/>
      <c r="L101" s="7">
        <v>291.95</v>
      </c>
      <c r="M101" s="7" cm="1">
        <f t="array" ref="M101">hydp(L101,50)</f>
        <v>27.289033066355096</v>
      </c>
      <c r="N101" s="3"/>
      <c r="O101" s="3"/>
      <c r="P101" s="3"/>
      <c r="Q101" s="3"/>
      <c r="R101" s="3"/>
      <c r="S101" s="3"/>
      <c r="T101" s="3"/>
      <c r="U101" s="3"/>
      <c r="V101" s="3"/>
      <c r="W101" s="3"/>
    </row>
    <row r="102" spans="1:23" x14ac:dyDescent="0.25">
      <c r="A102" s="3"/>
      <c r="B102" s="3"/>
      <c r="C102" s="6">
        <v>292.14999999999998</v>
      </c>
      <c r="D102" s="6" cm="1">
        <f t="array" ref="D102">hydp(C102,33.5)</f>
        <v>25.199729145064371</v>
      </c>
      <c r="E102" s="7"/>
      <c r="F102" s="7">
        <v>292.14999999999998</v>
      </c>
      <c r="G102" s="7" cm="1">
        <f t="array" ref="G102">hydp(F102,0)</f>
        <v>20.633152535076881</v>
      </c>
      <c r="H102" s="7"/>
      <c r="I102" s="7">
        <v>292.14999999999998</v>
      </c>
      <c r="J102" s="7" cm="1">
        <f t="array" ref="J102">hydp(I102,70)</f>
        <v>32.012750036654694</v>
      </c>
      <c r="K102" s="7"/>
      <c r="L102" s="7">
        <v>292.14999999999998</v>
      </c>
      <c r="M102" s="7" cm="1">
        <f t="array" ref="M102">hydp(L102,50)</f>
        <v>28.000948162548365</v>
      </c>
      <c r="N102" s="3"/>
      <c r="O102" s="3"/>
      <c r="P102" s="3"/>
      <c r="Q102" s="3"/>
      <c r="R102" s="3"/>
      <c r="S102" s="3"/>
      <c r="T102" s="3"/>
      <c r="U102" s="3"/>
      <c r="V102" s="3"/>
      <c r="W102" s="3"/>
    </row>
    <row r="103" spans="1:23" x14ac:dyDescent="0.25">
      <c r="A103" s="3"/>
      <c r="B103" s="3"/>
      <c r="C103" s="6">
        <v>292.34999999999997</v>
      </c>
      <c r="D103" s="6" cm="1">
        <f t="array" ref="D103">hydp(C103,33.5)</f>
        <v>25.850101558244734</v>
      </c>
      <c r="E103" s="7"/>
      <c r="F103" s="7">
        <v>292.34999999999997</v>
      </c>
      <c r="G103" s="7" cm="1">
        <f t="array" ref="G103">hydp(F103,0)</f>
        <v>21.145357547227054</v>
      </c>
      <c r="H103" s="7"/>
      <c r="I103" s="7">
        <v>292.34999999999997</v>
      </c>
      <c r="J103" s="7" cm="1">
        <f t="array" ref="J103">hydp(I103,70)</f>
        <v>32.849950074902402</v>
      </c>
      <c r="K103" s="7"/>
      <c r="L103" s="7">
        <v>292.34999999999997</v>
      </c>
      <c r="M103" s="7" cm="1">
        <f t="array" ref="M103">hydp(L103,50)</f>
        <v>28.730601906927813</v>
      </c>
      <c r="N103" s="3"/>
      <c r="O103" s="3"/>
      <c r="P103" s="3"/>
      <c r="Q103" s="3"/>
      <c r="R103" s="3"/>
      <c r="S103" s="3"/>
      <c r="T103" s="3"/>
      <c r="U103" s="3"/>
      <c r="V103" s="3"/>
      <c r="W103" s="3"/>
    </row>
    <row r="104" spans="1:23" x14ac:dyDescent="0.25">
      <c r="A104" s="3"/>
      <c r="B104" s="3"/>
      <c r="C104" s="6">
        <v>292.54999999999995</v>
      </c>
      <c r="D104" s="6" cm="1">
        <f t="array" ref="D104">hydp(C104,33.5)</f>
        <v>26.517498691875428</v>
      </c>
      <c r="E104" s="7"/>
      <c r="F104" s="7">
        <v>292.54999999999995</v>
      </c>
      <c r="G104" s="7" cm="1">
        <f t="array" ref="G104">hydp(F104,0)</f>
        <v>21.671413701879757</v>
      </c>
      <c r="H104" s="7"/>
      <c r="I104" s="7">
        <v>292.54999999999995</v>
      </c>
      <c r="J104" s="7" cm="1">
        <f t="array" ref="J104">hydp(I104,70)</f>
        <v>33.70552759950067</v>
      </c>
      <c r="K104" s="7"/>
      <c r="L104" s="7">
        <v>292.54999999999995</v>
      </c>
      <c r="M104" s="7" cm="1">
        <f t="array" ref="M104">hydp(L104,50)</f>
        <v>29.478276166624525</v>
      </c>
      <c r="N104" s="3"/>
      <c r="O104" s="3"/>
      <c r="P104" s="3"/>
      <c r="Q104" s="3"/>
      <c r="R104" s="3"/>
      <c r="S104" s="3"/>
      <c r="T104" s="3"/>
      <c r="U104" s="3"/>
      <c r="V104" s="3"/>
      <c r="W104" s="3"/>
    </row>
    <row r="105" spans="1:23" x14ac:dyDescent="0.25">
      <c r="A105" s="3"/>
      <c r="B105" s="3"/>
      <c r="C105" s="6">
        <v>292.75</v>
      </c>
      <c r="D105" s="6" cm="1">
        <f t="array" ref="D105">hydp(C105,33.5)</f>
        <v>27.202297979676427</v>
      </c>
      <c r="E105" s="7"/>
      <c r="F105" s="7">
        <v>292.75</v>
      </c>
      <c r="G105" s="7" cm="1">
        <f t="array" ref="G105">hydp(F105,0)</f>
        <v>22.211717167014683</v>
      </c>
      <c r="H105" s="7"/>
      <c r="I105" s="7">
        <v>292.75</v>
      </c>
      <c r="J105" s="7" cm="1">
        <f t="array" ref="J105">hydp(I105,70)</f>
        <v>34.579509742975937</v>
      </c>
      <c r="K105" s="7"/>
      <c r="L105" s="7">
        <v>292.75</v>
      </c>
      <c r="M105" s="7" cm="1">
        <f t="array" ref="M105">hydp(L105,50)</f>
        <v>30.244245682276151</v>
      </c>
      <c r="N105" s="3"/>
      <c r="O105" s="3"/>
      <c r="P105" s="3"/>
      <c r="Q105" s="3"/>
      <c r="R105" s="3"/>
      <c r="S105" s="3"/>
      <c r="T105" s="3"/>
      <c r="U105" s="3"/>
      <c r="V105" s="3"/>
      <c r="W105" s="3"/>
    </row>
    <row r="106" spans="1:23" x14ac:dyDescent="0.25">
      <c r="A106" s="3"/>
      <c r="B106" s="3"/>
      <c r="C106" s="6">
        <v>292.95</v>
      </c>
      <c r="D106" s="6" cm="1">
        <f t="array" ref="D106">hydp(C106,33.5)</f>
        <v>27.904880194813838</v>
      </c>
      <c r="E106" s="7"/>
      <c r="F106" s="7">
        <v>292.95</v>
      </c>
      <c r="G106" s="7" cm="1">
        <f t="array" ref="G106">hydp(F106,0)</f>
        <v>22.766675941170082</v>
      </c>
      <c r="H106" s="7"/>
      <c r="I106" s="7">
        <v>292.95</v>
      </c>
      <c r="J106" s="7" cm="1">
        <f t="array" ref="J106">hydp(I106,70)</f>
        <v>35.471893403196752</v>
      </c>
      <c r="K106" s="7"/>
      <c r="L106" s="7">
        <v>292.95</v>
      </c>
      <c r="M106" s="7" cm="1">
        <f t="array" ref="M106">hydp(L106,50)</f>
        <v>31.028777128523192</v>
      </c>
      <c r="N106" s="3"/>
      <c r="O106" s="3"/>
      <c r="P106" s="3"/>
      <c r="Q106" s="3"/>
      <c r="R106" s="3"/>
      <c r="S106" s="3"/>
      <c r="T106" s="3"/>
      <c r="U106" s="3"/>
      <c r="V106" s="3"/>
      <c r="W106" s="3"/>
    </row>
    <row r="107" spans="1:23" x14ac:dyDescent="0.25">
      <c r="A107" s="3"/>
      <c r="B107" s="3"/>
      <c r="C107" s="6">
        <v>293.14999999999998</v>
      </c>
      <c r="D107" s="6" cm="1">
        <f t="array" ref="D107">hydp(C107,33.5)</f>
        <v>28.625629143012059</v>
      </c>
      <c r="E107" s="7"/>
      <c r="F107" s="7">
        <v>293.14999999999998</v>
      </c>
      <c r="G107" s="7" cm="1">
        <f t="array" ref="G107">hydp(F107,0)</f>
        <v>23.336710219096801</v>
      </c>
      <c r="H107" s="7"/>
      <c r="I107" s="7">
        <v>293.14999999999998</v>
      </c>
      <c r="J107" s="7" cm="1">
        <f t="array" ref="J107">hydp(I107,70)</f>
        <v>36.382643191774363</v>
      </c>
      <c r="K107" s="7"/>
      <c r="L107" s="7">
        <v>293.14999999999998</v>
      </c>
      <c r="M107" s="7" cm="1">
        <f t="array" ref="M107">hydp(L107,50)</f>
        <v>31.832128118586759</v>
      </c>
      <c r="N107" s="3"/>
      <c r="O107" s="3"/>
      <c r="P107" s="3"/>
      <c r="Q107" s="3"/>
      <c r="R107" s="3"/>
      <c r="S107" s="3"/>
      <c r="T107" s="3"/>
      <c r="U107" s="3"/>
      <c r="V107" s="3"/>
      <c r="W107" s="3"/>
    </row>
  </sheetData>
  <mergeCells count="6">
    <mergeCell ref="A1:W1"/>
    <mergeCell ref="C4:M4"/>
    <mergeCell ref="Q2:W3"/>
    <mergeCell ref="A2:P2"/>
    <mergeCell ref="A3:P3"/>
    <mergeCell ref="O4:U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A0DD5-5AA6-4639-8ED1-E671CDC14C20}">
  <dimension ref="A1:W25"/>
  <sheetViews>
    <sheetView tabSelected="1" workbookViewId="0">
      <selection activeCell="B25" sqref="B25"/>
    </sheetView>
  </sheetViews>
  <sheetFormatPr defaultRowHeight="15" x14ac:dyDescent="0.25"/>
  <cols>
    <col min="3" max="3" width="8.7109375" bestFit="1" customWidth="1"/>
    <col min="4" max="4" width="12.5703125" bestFit="1" customWidth="1"/>
    <col min="5" max="5" width="15.28515625" bestFit="1" customWidth="1"/>
    <col min="6" max="6" width="22.42578125" bestFit="1" customWidth="1"/>
    <col min="8" max="8" width="8.7109375" bestFit="1" customWidth="1"/>
    <col min="9" max="9" width="12.5703125" bestFit="1" customWidth="1"/>
    <col min="10" max="10" width="15.28515625" bestFit="1" customWidth="1"/>
    <col min="11" max="11" width="22.42578125" bestFit="1" customWidth="1"/>
  </cols>
  <sheetData>
    <row r="1" spans="1:23" ht="16.5" thickBot="1" x14ac:dyDescent="0.3">
      <c r="A1" s="34" t="s">
        <v>12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6"/>
    </row>
    <row r="2" spans="1:23" ht="19.5" thickBot="1" x14ac:dyDescent="0.35">
      <c r="A2" s="46" t="s">
        <v>47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8"/>
      <c r="Q2" s="40" t="s">
        <v>11</v>
      </c>
      <c r="R2" s="41"/>
      <c r="S2" s="41"/>
      <c r="T2" s="41"/>
      <c r="U2" s="41"/>
      <c r="V2" s="41"/>
      <c r="W2" s="42"/>
    </row>
    <row r="3" spans="1:23" ht="19.5" thickBot="1" x14ac:dyDescent="0.35">
      <c r="A3" s="46" t="s">
        <v>44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9"/>
      <c r="P3" s="50"/>
      <c r="Q3" s="43"/>
      <c r="R3" s="44"/>
      <c r="S3" s="44"/>
      <c r="T3" s="44"/>
      <c r="U3" s="44"/>
      <c r="V3" s="44"/>
      <c r="W3" s="45"/>
    </row>
    <row r="6" spans="1:23" x14ac:dyDescent="0.25">
      <c r="C6" s="21" t="s">
        <v>40</v>
      </c>
      <c r="D6" s="21">
        <v>35</v>
      </c>
      <c r="E6" s="21" t="s">
        <v>36</v>
      </c>
      <c r="F6" s="21"/>
      <c r="G6" s="21"/>
      <c r="H6" s="21"/>
      <c r="I6" s="21"/>
      <c r="J6" s="21"/>
      <c r="K6" s="21"/>
      <c r="T6" t="s">
        <v>37</v>
      </c>
      <c r="U6" t="s">
        <v>38</v>
      </c>
      <c r="V6" t="s">
        <v>39</v>
      </c>
    </row>
    <row r="7" spans="1:23" x14ac:dyDescent="0.25">
      <c r="C7" s="21"/>
      <c r="D7" s="21"/>
      <c r="E7" s="21"/>
      <c r="F7" s="21"/>
      <c r="G7" s="21"/>
      <c r="H7" s="21"/>
      <c r="I7" s="21"/>
      <c r="J7" s="21"/>
      <c r="K7" s="21"/>
      <c r="T7" t="s">
        <v>41</v>
      </c>
      <c r="U7" t="s">
        <v>42</v>
      </c>
      <c r="V7" t="s">
        <v>43</v>
      </c>
    </row>
    <row r="8" spans="1:23" x14ac:dyDescent="0.25">
      <c r="C8" s="21" t="s">
        <v>37</v>
      </c>
      <c r="D8" s="21" t="s">
        <v>38</v>
      </c>
      <c r="E8" s="21" t="s">
        <v>45</v>
      </c>
      <c r="F8" s="21" t="s">
        <v>46</v>
      </c>
      <c r="G8" s="21"/>
      <c r="H8" s="21" t="s">
        <v>37</v>
      </c>
      <c r="I8" s="21" t="s">
        <v>38</v>
      </c>
      <c r="J8" s="21" t="s">
        <v>45</v>
      </c>
      <c r="K8" s="21" t="s">
        <v>46</v>
      </c>
      <c r="T8">
        <v>5</v>
      </c>
      <c r="U8">
        <v>273</v>
      </c>
      <c r="V8" cm="1">
        <f t="array" ref="V8">methhyd(U8,$D$6,T8)</f>
        <v>5.0655192095484317E-2</v>
      </c>
    </row>
    <row r="9" spans="1:23" x14ac:dyDescent="0.25">
      <c r="C9" s="21" t="s">
        <v>41</v>
      </c>
      <c r="D9" s="21" t="s">
        <v>42</v>
      </c>
      <c r="E9" s="21" t="s">
        <v>43</v>
      </c>
      <c r="F9" s="21" t="s">
        <v>41</v>
      </c>
      <c r="G9" s="21"/>
      <c r="H9" s="21" t="s">
        <v>41</v>
      </c>
      <c r="I9" s="21" t="s">
        <v>42</v>
      </c>
      <c r="J9" s="21" t="s">
        <v>43</v>
      </c>
      <c r="K9" s="21" t="s">
        <v>41</v>
      </c>
      <c r="T9">
        <v>6</v>
      </c>
      <c r="U9">
        <v>273</v>
      </c>
      <c r="V9" cm="1">
        <f t="array" ref="V9">methhyd(U9,$D$6,T9)</f>
        <v>5.0490067465534264E-2</v>
      </c>
    </row>
    <row r="10" spans="1:23" x14ac:dyDescent="0.25">
      <c r="C10" s="21">
        <v>15</v>
      </c>
      <c r="D10" s="21">
        <v>273</v>
      </c>
      <c r="E10" s="21" cm="1">
        <f t="array" ref="E10">methhyd(D10,$D$6,C10)</f>
        <v>4.9124936843696641E-2</v>
      </c>
      <c r="F10" s="21" cm="1">
        <f t="array" ref="F10">hydp(D10,$D$6)</f>
        <v>2.9349605863927972</v>
      </c>
      <c r="G10" s="21"/>
      <c r="H10" s="21">
        <v>20</v>
      </c>
      <c r="I10" s="21">
        <v>273</v>
      </c>
      <c r="J10" s="21" cm="1">
        <f t="array" ref="J10">methhyd(I10,$D$6,H10)</f>
        <v>4.8456962428064139E-2</v>
      </c>
      <c r="K10" s="21" cm="1">
        <f t="array" ref="K10">hydp(I10,$D$6)</f>
        <v>2.9349605863927972</v>
      </c>
      <c r="T10">
        <v>7</v>
      </c>
      <c r="U10">
        <v>273</v>
      </c>
      <c r="V10" cm="1">
        <f t="array" ref="V10">methhyd(U10,$D$6,T10)</f>
        <v>5.0327691075489032E-2</v>
      </c>
    </row>
    <row r="11" spans="1:23" x14ac:dyDescent="0.25">
      <c r="C11" s="21">
        <v>15</v>
      </c>
      <c r="D11" s="21">
        <v>274</v>
      </c>
      <c r="E11" s="21" cm="1">
        <f t="array" ref="E11">methhyd(D11,$D$6,C11)</f>
        <v>5.1854063875991431E-2</v>
      </c>
      <c r="F11" s="21" cm="1">
        <f t="array" ref="F11">hydp(D11,$D$6)</f>
        <v>3.2300313249342247</v>
      </c>
      <c r="G11" s="21"/>
      <c r="H11" s="21">
        <v>20</v>
      </c>
      <c r="I11" s="21">
        <v>274</v>
      </c>
      <c r="J11" s="21" cm="1">
        <f t="array" ref="J11">methhyd(I11,$D$6,H11)</f>
        <v>5.114246215186366E-2</v>
      </c>
      <c r="K11" s="21" cm="1">
        <f t="array" ref="K11">hydp(I11,$D$6)</f>
        <v>3.2300313249342247</v>
      </c>
      <c r="T11">
        <v>8</v>
      </c>
      <c r="U11">
        <v>273</v>
      </c>
      <c r="V11" cm="1">
        <f t="array" ref="V11">methhyd(U11,$D$6,T11)</f>
        <v>5.0168039848875939E-2</v>
      </c>
    </row>
    <row r="12" spans="1:23" x14ac:dyDescent="0.25">
      <c r="C12" s="21">
        <v>15</v>
      </c>
      <c r="D12" s="21">
        <v>275</v>
      </c>
      <c r="E12" s="21" cm="1">
        <f t="array" ref="E12">methhyd(D12,$D$6,C12)</f>
        <v>5.4865705994421241E-2</v>
      </c>
      <c r="F12" s="21" cm="1">
        <f t="array" ref="F12">hydp(D12,$D$6)</f>
        <v>3.5592712924603567</v>
      </c>
      <c r="G12" s="21"/>
      <c r="H12" s="21">
        <v>20</v>
      </c>
      <c r="I12" s="21">
        <v>275</v>
      </c>
      <c r="J12" s="21" cm="1">
        <f t="array" ref="J12">methhyd(I12,$D$6,H12)</f>
        <v>5.4106111493588252E-2</v>
      </c>
      <c r="K12" s="21" cm="1">
        <f t="array" ref="K12">hydp(I12,$D$6)</f>
        <v>3.5592712924603567</v>
      </c>
      <c r="T12">
        <v>9</v>
      </c>
      <c r="U12">
        <v>273</v>
      </c>
      <c r="V12" cm="1">
        <f t="array" ref="V12">methhyd(U12,$D$6,T12)</f>
        <v>5.0011091141374586E-2</v>
      </c>
    </row>
    <row r="13" spans="1:23" x14ac:dyDescent="0.25">
      <c r="C13" s="21">
        <v>15</v>
      </c>
      <c r="D13" s="21">
        <v>276</v>
      </c>
      <c r="E13" s="21" cm="1">
        <f t="array" ref="E13">methhyd(D13,$D$6,C13)</f>
        <v>5.8166474177788786E-2</v>
      </c>
      <c r="F13" s="21" cm="1">
        <f t="array" ref="F13">hydp(D13,$D$6)</f>
        <v>3.9281024136589542</v>
      </c>
      <c r="G13" s="21"/>
      <c r="H13" s="21">
        <v>20</v>
      </c>
      <c r="I13" s="21">
        <v>276</v>
      </c>
      <c r="J13" s="21" cm="1">
        <f t="array" ref="J13">methhyd(I13,$D$6,H13)</f>
        <v>5.7354309427242837E-2</v>
      </c>
      <c r="K13" s="21" cm="1">
        <f t="array" ref="K13">hydp(I13,$D$6)</f>
        <v>3.9281024136589542</v>
      </c>
      <c r="T13">
        <v>10</v>
      </c>
      <c r="U13">
        <v>273</v>
      </c>
      <c r="V13" cm="1">
        <f t="array" ref="V13">methhyd(U13,$D$6,T13)</f>
        <v>4.9856822735474579E-2</v>
      </c>
    </row>
    <row r="14" spans="1:23" x14ac:dyDescent="0.25">
      <c r="C14" s="21">
        <v>15</v>
      </c>
      <c r="D14" s="21">
        <v>277</v>
      </c>
      <c r="E14" s="21" cm="1">
        <f t="array" ref="E14">methhyd(D14,$D$6,C14)</f>
        <v>6.1762687336062806E-2</v>
      </c>
      <c r="F14" s="21" cm="1">
        <f t="array" ref="F14">hydp(D14,$D$6)</f>
        <v>4.342802379802591</v>
      </c>
      <c r="G14" s="21"/>
      <c r="H14" s="21">
        <v>20</v>
      </c>
      <c r="I14" s="21">
        <v>277</v>
      </c>
      <c r="J14" s="21" cm="1">
        <f t="array" ref="J14">methhyd(I14,$D$6,H14)</f>
        <v>6.0893149096848641E-2</v>
      </c>
      <c r="K14" s="21" cm="1">
        <f t="array" ref="K14">hydp(I14,$D$6)</f>
        <v>4.342802379802591</v>
      </c>
      <c r="T14">
        <v>11</v>
      </c>
      <c r="U14">
        <v>273</v>
      </c>
      <c r="V14" cm="1">
        <f t="array" ref="V14">methhyd(U14,$D$6,T14)</f>
        <v>4.9705212835243845E-2</v>
      </c>
    </row>
    <row r="15" spans="1:23" x14ac:dyDescent="0.25">
      <c r="C15" s="21">
        <v>15</v>
      </c>
      <c r="D15" s="21">
        <v>278</v>
      </c>
      <c r="E15" s="21" cm="1">
        <f t="array" ref="E15">methhyd(D15,$D$6,C15)</f>
        <v>6.5660044348944388E-2</v>
      </c>
      <c r="F15" s="21" cm="1">
        <f t="array" ref="F15">hydp(D15,$D$6)</f>
        <v>4.8106345966028758</v>
      </c>
      <c r="G15" s="21"/>
      <c r="H15" s="21">
        <v>20</v>
      </c>
      <c r="I15" s="21">
        <v>278</v>
      </c>
      <c r="J15" s="21" cm="1">
        <f t="array" ref="J15">methhyd(I15,$D$6,H15)</f>
        <v>6.4728088200593351E-2</v>
      </c>
      <c r="K15" s="21" cm="1">
        <f t="array" ref="K15">hydp(I15,$D$6)</f>
        <v>4.8106345966028758</v>
      </c>
      <c r="T15">
        <v>12</v>
      </c>
      <c r="U15">
        <v>273</v>
      </c>
      <c r="V15" cm="1">
        <f t="array" ref="V15">methhyd(U15,$D$6,T15)</f>
        <v>4.9556240061205334E-2</v>
      </c>
    </row>
    <row r="16" spans="1:23" x14ac:dyDescent="0.25">
      <c r="C16" s="21">
        <v>15</v>
      </c>
      <c r="D16" s="21">
        <v>279</v>
      </c>
      <c r="E16" s="21" cm="1">
        <f t="array" ref="E16">methhyd(D16,$D$6,C16)</f>
        <v>6.9863333384815415E-2</v>
      </c>
      <c r="F16" s="21" cm="1">
        <f t="array" ref="F16">hydp(D16,$D$6)</f>
        <v>5.3399968202181833</v>
      </c>
      <c r="G16" s="21"/>
      <c r="H16" s="21">
        <v>20</v>
      </c>
      <c r="I16" s="21">
        <v>279</v>
      </c>
      <c r="J16" s="21" cm="1">
        <f t="array" ref="J16">methhyd(I16,$D$6,H16)</f>
        <v>6.8863654958811554E-2</v>
      </c>
      <c r="K16" s="21" cm="1">
        <f t="array" ref="K16">hydp(I16,$D$6)</f>
        <v>5.3399968202181833</v>
      </c>
      <c r="T16">
        <v>13</v>
      </c>
      <c r="U16">
        <v>273</v>
      </c>
      <c r="V16" cm="1">
        <f t="array" ref="V16">methhyd(U16,$D$6,T16)</f>
        <v>4.9409883445321039E-2</v>
      </c>
    </row>
    <row r="17" spans="2:22" x14ac:dyDescent="0.25">
      <c r="C17" s="21">
        <v>15</v>
      </c>
      <c r="D17" s="21">
        <v>280</v>
      </c>
      <c r="E17" s="21" cm="1">
        <f t="array" ref="E17">methhyd(D17,$D$6,C17)</f>
        <v>7.437618823782266E-2</v>
      </c>
      <c r="F17" s="21" cm="1">
        <f t="array" ref="F17">hydp(D17,$D$6)</f>
        <v>5.9405895851839672</v>
      </c>
      <c r="G17" s="21"/>
      <c r="H17" s="21">
        <v>20</v>
      </c>
      <c r="I17" s="21">
        <v>280</v>
      </c>
      <c r="J17" s="21" cm="1">
        <f t="array" ref="J17">methhyd(I17,$D$6,H17)</f>
        <v>7.3303199037014946E-2</v>
      </c>
      <c r="K17" s="21" cm="1">
        <f t="array" ref="K17">hydp(I17,$D$6)</f>
        <v>5.9405895851839672</v>
      </c>
      <c r="T17">
        <v>14</v>
      </c>
      <c r="U17">
        <v>273</v>
      </c>
      <c r="V17" cm="1">
        <f t="array" ref="V17">methhyd(U17,$D$6,T17)</f>
        <v>4.9266122426081055E-2</v>
      </c>
    </row>
    <row r="18" spans="2:22" x14ac:dyDescent="0.25">
      <c r="C18" s="21">
        <v>15</v>
      </c>
      <c r="D18" s="21">
        <v>281</v>
      </c>
      <c r="E18" s="21" cm="1">
        <f t="array" ref="E18">methhyd(D18,$D$6,C18)</f>
        <v>7.9200904952613227E-2</v>
      </c>
      <c r="F18" s="21" cm="1">
        <f t="array" ref="F18">hydp(D18,$D$6)</f>
        <v>6.6236050206105013</v>
      </c>
      <c r="G18" s="21"/>
      <c r="H18" s="21">
        <v>20</v>
      </c>
      <c r="I18" s="21">
        <v>281</v>
      </c>
      <c r="J18" s="21" cm="1">
        <f t="array" ref="J18">methhyd(I18,$D$6,H18)</f>
        <v>7.8048700283629729E-2</v>
      </c>
      <c r="K18" s="21" cm="1">
        <f t="array" ref="K18">hydp(I18,$D$6)</f>
        <v>6.6236050206105013</v>
      </c>
      <c r="T18">
        <v>15</v>
      </c>
      <c r="U18">
        <v>273</v>
      </c>
      <c r="V18" cm="1">
        <f t="array" ref="V18">methhyd(U18,$D$6,T18)</f>
        <v>4.9124936843696641E-2</v>
      </c>
    </row>
    <row r="19" spans="2:22" x14ac:dyDescent="0.25">
      <c r="C19" s="21">
        <v>15</v>
      </c>
      <c r="D19" s="21">
        <v>282</v>
      </c>
      <c r="E19" s="21" cm="1">
        <f t="array" ref="E19">methhyd(D19,$D$6,C19)</f>
        <v>8.4338335009854548E-2</v>
      </c>
      <c r="F19" s="21" cm="1">
        <f t="array" ref="F19">hydp(D19,$D$6)</f>
        <v>7.4019358936512631</v>
      </c>
      <c r="G19" s="21"/>
      <c r="H19" s="21">
        <v>20</v>
      </c>
      <c r="I19" s="21">
        <v>282</v>
      </c>
      <c r="J19" s="21" cm="1">
        <f t="array" ref="J19">methhyd(I19,$D$6,H19)</f>
        <v>8.3100651117173491E-2</v>
      </c>
      <c r="K19" s="21" cm="1">
        <f t="array" ref="K19">hydp(I19,$D$6)</f>
        <v>7.4019358936512631</v>
      </c>
      <c r="T19">
        <v>16</v>
      </c>
      <c r="U19">
        <v>273</v>
      </c>
      <c r="V19" cm="1">
        <f t="array" ref="V19">methhyd(U19,$D$6,T19)</f>
        <v>4.898630693539531E-2</v>
      </c>
    </row>
    <row r="20" spans="2:22" x14ac:dyDescent="0.25">
      <c r="C20" s="21">
        <v>15</v>
      </c>
      <c r="D20" s="21">
        <v>283</v>
      </c>
      <c r="E20" s="21" cm="1">
        <f t="array" ref="E20">methhyd(D20,$D$6,C20)</f>
        <v>8.978787406531849E-2</v>
      </c>
      <c r="F20" s="21" cm="1">
        <f t="array" ref="F20">hydp(D20,$D$6)</f>
        <v>8.2904035766117516</v>
      </c>
      <c r="G20" s="21"/>
      <c r="H20" s="21">
        <v>20</v>
      </c>
      <c r="I20" s="21">
        <v>283</v>
      </c>
      <c r="J20" s="21" cm="1">
        <f t="array" ref="J20">methhyd(I20,$D$6,H20)</f>
        <v>8.8458031102851345E-2</v>
      </c>
      <c r="K20" s="21" cm="1">
        <f t="array" ref="K20">hydp(I20,$D$6)</f>
        <v>8.2904035766117516</v>
      </c>
      <c r="T20">
        <v>17</v>
      </c>
      <c r="U20">
        <v>273</v>
      </c>
      <c r="V20" cm="1">
        <f t="array" ref="V20">methhyd(U20,$D$6,T20)</f>
        <v>4.8850213330816454E-2</v>
      </c>
    </row>
    <row r="21" spans="2:22" x14ac:dyDescent="0.25">
      <c r="C21" s="21">
        <v>15</v>
      </c>
      <c r="D21" s="21">
        <v>284</v>
      </c>
      <c r="E21" s="21" cm="1">
        <f t="array" ref="E21">methhyd(D21,$D$6,C21)</f>
        <v>9.5547567580200859E-2</v>
      </c>
      <c r="F21" s="21" cm="1">
        <f t="array" ref="F21">hydp(D21,$D$6)</f>
        <v>9.306001997511343</v>
      </c>
      <c r="G21" s="21"/>
      <c r="H21" s="21">
        <v>20</v>
      </c>
      <c r="I21" s="21">
        <v>284</v>
      </c>
      <c r="J21" s="21" cm="1">
        <f t="array" ref="J21">methhyd(I21,$D$6,H21)</f>
        <v>9.4118394605974723E-2</v>
      </c>
      <c r="K21" s="21" cm="1">
        <f t="array" ref="K21">hydp(I21,$D$6)</f>
        <v>9.306001997511343</v>
      </c>
      <c r="T21">
        <v>18</v>
      </c>
      <c r="U21">
        <v>273</v>
      </c>
      <c r="V21" cm="1">
        <f t="array" ref="V21">methhyd(U21,$D$6,T21)</f>
        <v>4.871663704750645E-2</v>
      </c>
    </row>
    <row r="22" spans="2:22" x14ac:dyDescent="0.25">
      <c r="C22" s="21">
        <v>15</v>
      </c>
      <c r="D22" s="21">
        <v>285</v>
      </c>
      <c r="E22" s="21" cm="1">
        <f t="array" ref="E22">methhyd(D22,$D$6,C22)</f>
        <v>0.10161435642249862</v>
      </c>
      <c r="F22" s="21" cm="1">
        <f t="array" ref="F22">hydp(D22,$D$6)</f>
        <v>10.468152411569124</v>
      </c>
      <c r="G22" s="21"/>
      <c r="H22" s="21">
        <v>10</v>
      </c>
      <c r="I22" s="21">
        <v>285</v>
      </c>
      <c r="J22" s="21" cm="1">
        <f t="array" ref="J22">methhyd(I22,$D$6,H22)</f>
        <v>0.10327551564143558</v>
      </c>
      <c r="K22" s="21" cm="1">
        <f t="array" ref="K22">hydp(I22,$D$6)</f>
        <v>10.468152411569124</v>
      </c>
      <c r="T22">
        <v>19</v>
      </c>
      <c r="U22">
        <v>273</v>
      </c>
      <c r="V22" cm="1">
        <f t="array" ref="V22">methhyd(U22,$D$6,T22)</f>
        <v>4.8585559486511033E-2</v>
      </c>
    </row>
    <row r="23" spans="2:22" x14ac:dyDescent="0.25">
      <c r="C23" s="21">
        <v>15</v>
      </c>
      <c r="D23" s="21">
        <v>286</v>
      </c>
      <c r="E23" s="21" cm="1">
        <f t="array" ref="E23">methhyd(D23,$D$6,C23)</f>
        <v>0.10798448695819778</v>
      </c>
      <c r="F23" s="21" cm="1">
        <f t="array" ref="F23">hydp(D23,$D$6)</f>
        <v>11.798960804961926</v>
      </c>
      <c r="G23" s="21"/>
      <c r="H23" s="21">
        <v>20</v>
      </c>
      <c r="I23" s="21">
        <v>286</v>
      </c>
      <c r="J23" s="21" cm="1">
        <f t="array" ref="J23">methhyd(I23,$D$6,H23)</f>
        <v>0.10633266377781445</v>
      </c>
      <c r="K23" s="21" cm="1">
        <f t="array" ref="K23">hydp(I23,$D$6)</f>
        <v>11.798960804961926</v>
      </c>
    </row>
    <row r="24" spans="2:22" x14ac:dyDescent="0.25">
      <c r="C24" s="21">
        <v>15</v>
      </c>
      <c r="D24" s="21">
        <v>287</v>
      </c>
      <c r="E24" s="21" cm="1">
        <f t="array" ref="E24">methhyd(D24,$D$6,C24)</f>
        <v>0.1146541107725593</v>
      </c>
      <c r="F24" s="21" cm="1">
        <f t="array" ref="F24">hydp(D24,$D$6)</f>
        <v>13.323465845530636</v>
      </c>
      <c r="G24" s="21"/>
      <c r="H24" s="21">
        <v>20</v>
      </c>
      <c r="I24" s="21">
        <v>287</v>
      </c>
      <c r="J24" s="21" cm="1">
        <f t="array" ref="J24">methhyd(I24,$D$6,H24)</f>
        <v>0.11287738671315867</v>
      </c>
      <c r="K24" s="21" cm="1">
        <f t="array" ref="K24">hydp(I24,$D$6)</f>
        <v>13.323465845530636</v>
      </c>
    </row>
    <row r="25" spans="2:22" x14ac:dyDescent="0.25">
      <c r="B25" cm="1">
        <f t="array" ref="B25">methhyd(285,35,11)</f>
        <v>0.10293304283462433</v>
      </c>
    </row>
  </sheetData>
  <mergeCells count="4">
    <mergeCell ref="A1:W1"/>
    <mergeCell ref="A2:P2"/>
    <mergeCell ref="Q2:W3"/>
    <mergeCell ref="A3:P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License</vt:lpstr>
      <vt:lpstr>Hydrate stability test</vt:lpstr>
      <vt:lpstr>Methane Solubility</vt:lpstr>
    </vt:vector>
  </TitlesOfParts>
  <Company>UiT The Arctic University of Norway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Hariharan Ramachandran</dc:creator>
  <cp:lastModifiedBy>Hariharan Ramachandran</cp:lastModifiedBy>
  <dcterms:created xsi:type="dcterms:W3CDTF">2020-09-24T12:08:57Z</dcterms:created>
  <dcterms:modified xsi:type="dcterms:W3CDTF">2020-12-03T12:58:29Z</dcterms:modified>
</cp:coreProperties>
</file>